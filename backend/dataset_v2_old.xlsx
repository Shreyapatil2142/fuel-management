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993" activeTab="7"/>
  </bookViews>
  <sheets>
    <sheet name="vehicles" sheetId="1" r:id="rId1"/>
    <sheet name="trips" sheetId="7" r:id="rId2"/>
    <sheet name="alerts" sheetId="3" r:id="rId3"/>
    <sheet name="location_track" sheetId="4" r:id="rId4"/>
    <sheet name="vehicle_track" sheetId="5" r:id="rId5"/>
    <sheet name="fuel_transactions" sheetId="6" r:id="rId6"/>
    <sheet name="iot_transactions" sheetId="8" r:id="rId7"/>
    <sheet name="Sheet2" sheetId="9" r:id="rId8"/>
  </sheets>
  <calcPr calcId="144525" iterateDelta="1E-4"/>
</workbook>
</file>

<file path=xl/calcChain.xml><?xml version="1.0" encoding="utf-8"?>
<calcChain xmlns="http://schemas.openxmlformats.org/spreadsheetml/2006/main">
  <c r="N21" i="8" l="1"/>
  <c r="O21" i="8"/>
  <c r="O17" i="8"/>
  <c r="O18" i="8"/>
  <c r="O19" i="8"/>
  <c r="O20" i="8"/>
  <c r="N17" i="8"/>
  <c r="N18" i="8"/>
  <c r="N19" i="8"/>
  <c r="N20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2" i="8"/>
</calcChain>
</file>

<file path=xl/sharedStrings.xml><?xml version="1.0" encoding="utf-8"?>
<sst xmlns="http://schemas.openxmlformats.org/spreadsheetml/2006/main" count="702" uniqueCount="136">
  <si>
    <t>User_id</t>
  </si>
  <si>
    <t>Vehicle_number</t>
  </si>
  <si>
    <t>ABCD1234</t>
  </si>
  <si>
    <t>XYZS8765</t>
  </si>
  <si>
    <t>ASDF2123</t>
  </si>
  <si>
    <t>QAZX3212</t>
  </si>
  <si>
    <t>WSXC3212</t>
  </si>
  <si>
    <t>RFVC4321</t>
  </si>
  <si>
    <t>TGVF5432</t>
  </si>
  <si>
    <t>YTRE6543</t>
  </si>
  <si>
    <t>OKMN9876</t>
  </si>
  <si>
    <t>PLMN6789</t>
  </si>
  <si>
    <t>loc_current_lat</t>
  </si>
  <si>
    <t>loc_current_long</t>
  </si>
  <si>
    <t>loc_timestamp</t>
  </si>
  <si>
    <t>loc_vehicle_status</t>
  </si>
  <si>
    <t>RUNNING</t>
  </si>
  <si>
    <t>IDEAL</t>
  </si>
  <si>
    <t>HALTED</t>
  </si>
  <si>
    <t>alert_current_lat</t>
  </si>
  <si>
    <t>alert_current_long</t>
  </si>
  <si>
    <t>alert_timestamp</t>
  </si>
  <si>
    <t>alert_vehicle_status</t>
  </si>
  <si>
    <t>OVERSPEED</t>
  </si>
  <si>
    <t>Location_id</t>
  </si>
  <si>
    <t>route</t>
  </si>
  <si>
    <t>latitude</t>
  </si>
  <si>
    <t>longitude</t>
  </si>
  <si>
    <t>ROUTE-1</t>
  </si>
  <si>
    <t>ROUTE-2</t>
  </si>
  <si>
    <t>ROUTE-3</t>
  </si>
  <si>
    <t>consumption_id</t>
  </si>
  <si>
    <t>fule_consumed_liters</t>
  </si>
  <si>
    <t>distance_traveled</t>
  </si>
  <si>
    <t>timestamp</t>
  </si>
  <si>
    <t>Transaction_id</t>
  </si>
  <si>
    <t>fuel_quantity</t>
  </si>
  <si>
    <t>fuel_price</t>
  </si>
  <si>
    <t>transaction_date</t>
  </si>
  <si>
    <t>ABCD1235</t>
  </si>
  <si>
    <t>ABCD1236</t>
  </si>
  <si>
    <t>Yes</t>
  </si>
  <si>
    <t>No</t>
  </si>
  <si>
    <t>S06A-898834</t>
  </si>
  <si>
    <t>S06A-898835</t>
  </si>
  <si>
    <t>S06A-898836</t>
  </si>
  <si>
    <t>S06A-898837</t>
  </si>
  <si>
    <t>S06A-898838</t>
  </si>
  <si>
    <t>S06A-898839</t>
  </si>
  <si>
    <t>S06A-898840</t>
  </si>
  <si>
    <t>S06A-898841</t>
  </si>
  <si>
    <t>S06A-898842</t>
  </si>
  <si>
    <t>S06A-898843</t>
  </si>
  <si>
    <t>Tanker</t>
  </si>
  <si>
    <t>capacity</t>
  </si>
  <si>
    <t>type</t>
  </si>
  <si>
    <t>vehicle_number</t>
  </si>
  <si>
    <t>project_id</t>
  </si>
  <si>
    <t>gps</t>
  </si>
  <si>
    <t>device</t>
  </si>
  <si>
    <t>alert_id</t>
  </si>
  <si>
    <t>alert_status</t>
  </si>
  <si>
    <t>08-05-2024  010:54:00 AM</t>
  </si>
  <si>
    <t>driver</t>
  </si>
  <si>
    <t>Ahmed Khan</t>
  </si>
  <si>
    <t>Yusuf Rahman</t>
  </si>
  <si>
    <t>Omar Malik</t>
  </si>
  <si>
    <t>Ibrahim Abbas</t>
  </si>
  <si>
    <t>Aliyah Mahmood</t>
  </si>
  <si>
    <t>David Lee</t>
  </si>
  <si>
    <t>Michael</t>
  </si>
  <si>
    <t>Ali</t>
  </si>
  <si>
    <t>Hasan</t>
  </si>
  <si>
    <t xml:space="preserve">Amir </t>
  </si>
  <si>
    <t>Riyadh</t>
  </si>
  <si>
    <t>Medina</t>
  </si>
  <si>
    <t>trip_id</t>
  </si>
  <si>
    <t>destination</t>
  </si>
  <si>
    <t>starting_point</t>
  </si>
  <si>
    <t>distance</t>
  </si>
  <si>
    <t>filled_to</t>
  </si>
  <si>
    <t>vendor</t>
  </si>
  <si>
    <t>fuel_type</t>
  </si>
  <si>
    <t>start_datetime</t>
  </si>
  <si>
    <t>gallons_at_start</t>
  </si>
  <si>
    <t>destination_datetime</t>
  </si>
  <si>
    <t>gallons_at_destination</t>
  </si>
  <si>
    <t>Jeddah</t>
  </si>
  <si>
    <t>Full</t>
  </si>
  <si>
    <t>Gasoline</t>
  </si>
  <si>
    <t>Mecca</t>
  </si>
  <si>
    <t>Half</t>
  </si>
  <si>
    <t>Diesel</t>
  </si>
  <si>
    <t>Dammam</t>
  </si>
  <si>
    <t>Three-Fourths</t>
  </si>
  <si>
    <t>Khobar</t>
  </si>
  <si>
    <t>Jizan</t>
  </si>
  <si>
    <t>Quarter</t>
  </si>
  <si>
    <t>Tabuk</t>
  </si>
  <si>
    <t>Abha</t>
  </si>
  <si>
    <t>Najran</t>
  </si>
  <si>
    <t>Aramco</t>
  </si>
  <si>
    <t>device_id</t>
  </si>
  <si>
    <t>operating_voltage</t>
  </si>
  <si>
    <t>operating_voltage_unit</t>
  </si>
  <si>
    <t>operating_voltage_parity</t>
  </si>
  <si>
    <t>operating_current</t>
  </si>
  <si>
    <t>operating_current_unit</t>
  </si>
  <si>
    <t>operating_frequency</t>
  </si>
  <si>
    <t>operating_frequency_unit</t>
  </si>
  <si>
    <t>flow_rate</t>
  </si>
  <si>
    <t>flow_rate_unit</t>
  </si>
  <si>
    <t>volume</t>
  </si>
  <si>
    <t>volume_unit</t>
  </si>
  <si>
    <t>event_time_stamp</t>
  </si>
  <si>
    <t>cloud_sent_time_stamp</t>
  </si>
  <si>
    <t>is_backlog_data</t>
  </si>
  <si>
    <t>V</t>
  </si>
  <si>
    <t>+</t>
  </si>
  <si>
    <t>Amp</t>
  </si>
  <si>
    <t>Hz</t>
  </si>
  <si>
    <t>ml/s</t>
  </si>
  <si>
    <t>L</t>
  </si>
  <si>
    <t>Source Fuel vs Destination Fuel per Vehicle</t>
  </si>
  <si>
    <t>Start Time vs End Time of Trip per vehicle</t>
  </si>
  <si>
    <t>Shortage of Fuel on each project</t>
  </si>
  <si>
    <t>Analytics</t>
  </si>
  <si>
    <t>Reports</t>
  </si>
  <si>
    <t>Distance travelled project</t>
  </si>
  <si>
    <t>Count of Alerts on each vehicle</t>
  </si>
  <si>
    <t>Count of Alerts on project</t>
  </si>
  <si>
    <t>no of vehicles short on fuel</t>
  </si>
  <si>
    <t>most halted</t>
  </si>
  <si>
    <t>most idel</t>
  </si>
  <si>
    <t>most running</t>
  </si>
  <si>
    <t>most fuel shortage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</si>
</sst>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\ hh:mm"/>
    <numFmt numFmtId="165" formatCode="yyyy\-mm\-dd"/>
  </numFmts>
  <fonts count="3">
    <font>
      <sz val="11"/>
      <color rgb="FF000000"/>
      <name val="Calibri"/>
      <family val="2"/>
      <charset val="1"/>
    </font>
    <font>
      <sz val="11"/>
      <color rgb="FF000000"/>
      <name val="Aptos Narrow"/>
      <family val="2"/>
      <charset val="1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2" fontId="0" fillId="0" borderId="0" xfId="0" applyNumberFormat="1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zoomScaleNormal="100" workbookViewId="0">
      <selection sqref="A1:A11"/>
    </sheetView>
  </sheetViews>
  <sheetFormatPr defaultRowHeight="15"/>
  <cols>
    <col min="1" max="1" width="10" bestFit="1" customWidth="1"/>
    <col min="2" max="2" width="15.85546875" bestFit="1" customWidth="1"/>
    <col min="3" max="3" width="7" bestFit="1" customWidth="1"/>
    <col min="4" max="4" width="8.7109375" bestFit="1" customWidth="1"/>
    <col min="5" max="5" width="4.42578125" bestFit="1" customWidth="1"/>
    <col min="6" max="6" width="12" bestFit="1" customWidth="1"/>
    <col min="7" max="7" width="16.140625" bestFit="1" customWidth="1"/>
    <col min="8" max="8" width="14.85546875" bestFit="1" customWidth="1"/>
    <col min="9" max="9" width="16.5703125" bestFit="1" customWidth="1"/>
    <col min="10" max="10" width="14.85546875" bestFit="1" customWidth="1"/>
    <col min="11" max="11" width="18.42578125" bestFit="1" customWidth="1"/>
    <col min="12" max="1025" width="8.5703125"/>
  </cols>
  <sheetData>
    <row r="1" spans="1:12">
      <c r="A1" s="1" t="s">
        <v>57</v>
      </c>
      <c r="B1" s="1" t="s">
        <v>56</v>
      </c>
      <c r="C1" s="1" t="s">
        <v>55</v>
      </c>
      <c r="D1" s="1" t="s">
        <v>54</v>
      </c>
      <c r="E1" s="1" t="s">
        <v>58</v>
      </c>
      <c r="F1" s="1" t="s">
        <v>59</v>
      </c>
      <c r="G1" s="1" t="s">
        <v>63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25</v>
      </c>
    </row>
    <row r="2" spans="1:12">
      <c r="A2">
        <v>1</v>
      </c>
      <c r="B2" t="s">
        <v>2</v>
      </c>
      <c r="C2" t="s">
        <v>53</v>
      </c>
      <c r="D2">
        <v>30000</v>
      </c>
      <c r="E2" t="s">
        <v>41</v>
      </c>
      <c r="F2" t="s">
        <v>43</v>
      </c>
      <c r="G2" t="s">
        <v>64</v>
      </c>
      <c r="H2">
        <v>24.678695000000001</v>
      </c>
      <c r="I2">
        <v>46.689010000000003</v>
      </c>
      <c r="J2" s="2">
        <v>45420</v>
      </c>
      <c r="K2" t="s">
        <v>16</v>
      </c>
      <c r="L2" t="s">
        <v>28</v>
      </c>
    </row>
    <row r="3" spans="1:12">
      <c r="A3">
        <v>1</v>
      </c>
      <c r="B3" t="s">
        <v>3</v>
      </c>
      <c r="C3" t="s">
        <v>53</v>
      </c>
      <c r="D3">
        <v>20000</v>
      </c>
      <c r="E3" t="s">
        <v>41</v>
      </c>
      <c r="F3" t="s">
        <v>44</v>
      </c>
      <c r="G3" t="s">
        <v>65</v>
      </c>
      <c r="H3">
        <v>24.668092000000001</v>
      </c>
      <c r="I3">
        <v>46.698726000000001</v>
      </c>
      <c r="J3" s="2">
        <v>45420</v>
      </c>
      <c r="K3" t="s">
        <v>16</v>
      </c>
      <c r="L3" t="s">
        <v>29</v>
      </c>
    </row>
    <row r="4" spans="1:12">
      <c r="A4">
        <v>1</v>
      </c>
      <c r="B4" t="s">
        <v>4</v>
      </c>
      <c r="C4" t="s">
        <v>53</v>
      </c>
      <c r="D4">
        <v>35000</v>
      </c>
      <c r="E4" t="s">
        <v>41</v>
      </c>
      <c r="F4" t="s">
        <v>45</v>
      </c>
      <c r="G4" t="s">
        <v>66</v>
      </c>
      <c r="H4">
        <v>24.647334000000001</v>
      </c>
      <c r="I4">
        <v>46.701631999999996</v>
      </c>
      <c r="J4" s="2">
        <v>45420</v>
      </c>
      <c r="K4" t="s">
        <v>16</v>
      </c>
      <c r="L4" t="s">
        <v>30</v>
      </c>
    </row>
    <row r="5" spans="1:12">
      <c r="A5">
        <v>1</v>
      </c>
      <c r="B5" t="s">
        <v>5</v>
      </c>
      <c r="C5" t="s">
        <v>53</v>
      </c>
      <c r="D5">
        <v>15000</v>
      </c>
      <c r="E5" t="s">
        <v>41</v>
      </c>
      <c r="F5" t="s">
        <v>46</v>
      </c>
      <c r="G5" t="s">
        <v>67</v>
      </c>
      <c r="H5">
        <v>24.632529000000002</v>
      </c>
      <c r="I5">
        <v>46.704549</v>
      </c>
      <c r="J5" s="2">
        <v>45420</v>
      </c>
      <c r="K5" t="s">
        <v>17</v>
      </c>
      <c r="L5" t="s">
        <v>28</v>
      </c>
    </row>
    <row r="6" spans="1:12">
      <c r="A6">
        <v>1</v>
      </c>
      <c r="B6" t="s">
        <v>6</v>
      </c>
      <c r="C6" t="s">
        <v>53</v>
      </c>
      <c r="D6">
        <v>10000</v>
      </c>
      <c r="E6" t="s">
        <v>41</v>
      </c>
      <c r="F6" t="s">
        <v>47</v>
      </c>
      <c r="G6" t="s">
        <v>68</v>
      </c>
      <c r="H6">
        <v>24.601165000000002</v>
      </c>
      <c r="I6">
        <v>46.704543999999999</v>
      </c>
      <c r="J6" s="2">
        <v>45420</v>
      </c>
      <c r="K6" t="s">
        <v>16</v>
      </c>
      <c r="L6" t="s">
        <v>29</v>
      </c>
    </row>
    <row r="7" spans="1:12">
      <c r="A7">
        <v>2</v>
      </c>
      <c r="B7" t="s">
        <v>7</v>
      </c>
      <c r="C7" t="s">
        <v>53</v>
      </c>
      <c r="D7">
        <v>30000</v>
      </c>
      <c r="E7" t="s">
        <v>41</v>
      </c>
      <c r="F7" t="s">
        <v>48</v>
      </c>
      <c r="G7" t="s">
        <v>69</v>
      </c>
      <c r="H7">
        <v>24.625764</v>
      </c>
      <c r="I7">
        <v>46.578265000000002</v>
      </c>
      <c r="J7" s="2">
        <v>45420</v>
      </c>
      <c r="K7" t="s">
        <v>16</v>
      </c>
      <c r="L7" t="s">
        <v>30</v>
      </c>
    </row>
    <row r="8" spans="1:12">
      <c r="A8">
        <v>2</v>
      </c>
      <c r="B8" t="s">
        <v>8</v>
      </c>
      <c r="C8" t="s">
        <v>53</v>
      </c>
      <c r="D8">
        <v>20000</v>
      </c>
      <c r="E8" t="s">
        <v>42</v>
      </c>
      <c r="F8" t="s">
        <v>49</v>
      </c>
      <c r="G8" t="s">
        <v>70</v>
      </c>
      <c r="H8">
        <v>24.666495999999999</v>
      </c>
      <c r="I8">
        <v>46.619283000000003</v>
      </c>
      <c r="J8" s="2">
        <v>45420</v>
      </c>
      <c r="K8" t="s">
        <v>16</v>
      </c>
      <c r="L8" t="s">
        <v>28</v>
      </c>
    </row>
    <row r="9" spans="1:12">
      <c r="A9">
        <v>2</v>
      </c>
      <c r="B9" t="s">
        <v>9</v>
      </c>
      <c r="C9" t="s">
        <v>53</v>
      </c>
      <c r="D9">
        <v>25000</v>
      </c>
      <c r="E9" t="s">
        <v>41</v>
      </c>
      <c r="F9" t="s">
        <v>50</v>
      </c>
      <c r="G9" t="s">
        <v>71</v>
      </c>
      <c r="H9">
        <v>24.695917999999999</v>
      </c>
      <c r="I9">
        <v>46.628231999999997</v>
      </c>
      <c r="J9" s="2">
        <v>45420</v>
      </c>
      <c r="K9" t="s">
        <v>17</v>
      </c>
      <c r="L9" t="s">
        <v>29</v>
      </c>
    </row>
    <row r="10" spans="1:12">
      <c r="A10">
        <v>3</v>
      </c>
      <c r="B10" t="s">
        <v>10</v>
      </c>
      <c r="C10" t="s">
        <v>53</v>
      </c>
      <c r="D10">
        <v>18000</v>
      </c>
      <c r="E10" t="s">
        <v>41</v>
      </c>
      <c r="F10" t="s">
        <v>51</v>
      </c>
      <c r="G10" t="s">
        <v>72</v>
      </c>
      <c r="H10">
        <v>24.696961999999999</v>
      </c>
      <c r="I10">
        <v>46.733758999999999</v>
      </c>
      <c r="J10" s="2">
        <v>45420</v>
      </c>
      <c r="K10" t="s">
        <v>18</v>
      </c>
      <c r="L10" t="s">
        <v>30</v>
      </c>
    </row>
    <row r="11" spans="1:12">
      <c r="A11">
        <v>3</v>
      </c>
      <c r="B11" t="s">
        <v>11</v>
      </c>
      <c r="C11" t="s">
        <v>53</v>
      </c>
      <c r="D11">
        <v>12000</v>
      </c>
      <c r="E11" t="s">
        <v>41</v>
      </c>
      <c r="F11" t="s">
        <v>52</v>
      </c>
      <c r="G11" t="s">
        <v>73</v>
      </c>
      <c r="H11">
        <v>24.612100999999999</v>
      </c>
      <c r="I11">
        <v>46.765498999999998</v>
      </c>
      <c r="J11" s="2">
        <v>45420</v>
      </c>
      <c r="K11" t="s">
        <v>16</v>
      </c>
      <c r="L11" t="s">
        <v>28</v>
      </c>
    </row>
  </sheetData>
  <pageMargins left="0.7" right="0.7" top="0.75" bottom="0.75" header="0.51180555555555496" footer="0.51180555555555496"/>
  <pageSetup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>
      <selection activeCell="F7" sqref="F7"/>
    </sheetView>
  </sheetViews>
  <sheetFormatPr defaultRowHeight="15"/>
  <cols>
    <col min="1" max="1" width="6.85546875" bestFit="1" customWidth="1"/>
    <col min="2" max="2" width="10" bestFit="1" customWidth="1"/>
    <col min="3" max="3" width="15.5703125" bestFit="1" customWidth="1"/>
    <col min="4" max="4" width="13.5703125" bestFit="1" customWidth="1"/>
    <col min="5" max="5" width="11.140625" bestFit="1" customWidth="1"/>
    <col min="6" max="6" width="8.42578125" bestFit="1" customWidth="1"/>
    <col min="7" max="7" width="15.5703125" bestFit="1" customWidth="1"/>
    <col min="8" max="8" width="15.140625" bestFit="1" customWidth="1"/>
    <col min="9" max="9" width="13.7109375" bestFit="1" customWidth="1"/>
    <col min="10" max="10" width="8.42578125" bestFit="1" customWidth="1"/>
    <col min="11" max="11" width="9.5703125" bestFit="1" customWidth="1"/>
    <col min="12" max="12" width="20.5703125" bestFit="1" customWidth="1"/>
    <col min="13" max="13" width="21.5703125" bestFit="1" customWidth="1"/>
  </cols>
  <sheetData>
    <row r="1" spans="1:13">
      <c r="A1" t="s">
        <v>76</v>
      </c>
      <c r="B1" t="s">
        <v>57</v>
      </c>
      <c r="C1" t="s">
        <v>56</v>
      </c>
      <c r="D1" t="s">
        <v>78</v>
      </c>
      <c r="E1" t="s">
        <v>77</v>
      </c>
      <c r="F1" t="s">
        <v>79</v>
      </c>
      <c r="G1" t="s">
        <v>83</v>
      </c>
      <c r="H1" t="s">
        <v>84</v>
      </c>
      <c r="I1" t="s">
        <v>80</v>
      </c>
      <c r="J1" t="s">
        <v>81</v>
      </c>
      <c r="K1" t="s">
        <v>82</v>
      </c>
      <c r="L1" t="s">
        <v>85</v>
      </c>
      <c r="M1" t="s">
        <v>86</v>
      </c>
    </row>
    <row r="2" spans="1:13">
      <c r="A2">
        <v>1</v>
      </c>
      <c r="B2">
        <v>1</v>
      </c>
      <c r="C2" t="s">
        <v>2</v>
      </c>
      <c r="D2" t="s">
        <v>74</v>
      </c>
      <c r="E2" t="s">
        <v>87</v>
      </c>
      <c r="F2">
        <v>950</v>
      </c>
      <c r="G2" s="4">
        <v>45421.333333333336</v>
      </c>
      <c r="H2">
        <v>30000</v>
      </c>
      <c r="I2" t="s">
        <v>88</v>
      </c>
      <c r="J2" t="s">
        <v>101</v>
      </c>
      <c r="K2" t="s">
        <v>89</v>
      </c>
      <c r="L2" s="4">
        <v>45422.625</v>
      </c>
      <c r="M2">
        <v>28000</v>
      </c>
    </row>
    <row r="3" spans="1:13">
      <c r="A3">
        <v>2</v>
      </c>
      <c r="B3">
        <v>1</v>
      </c>
      <c r="C3" t="s">
        <v>3</v>
      </c>
      <c r="D3" t="s">
        <v>90</v>
      </c>
      <c r="E3" t="s">
        <v>75</v>
      </c>
      <c r="F3">
        <v>400</v>
      </c>
      <c r="G3" s="4">
        <v>45421.395833333336</v>
      </c>
      <c r="H3">
        <v>10000</v>
      </c>
      <c r="I3" t="s">
        <v>91</v>
      </c>
      <c r="J3" t="s">
        <v>101</v>
      </c>
      <c r="K3" t="s">
        <v>92</v>
      </c>
      <c r="L3" s="4">
        <v>45422.5</v>
      </c>
      <c r="M3">
        <v>9800</v>
      </c>
    </row>
    <row r="4" spans="1:13">
      <c r="A4">
        <v>3</v>
      </c>
      <c r="B4">
        <v>1</v>
      </c>
      <c r="C4" t="s">
        <v>4</v>
      </c>
      <c r="D4" t="s">
        <v>93</v>
      </c>
      <c r="E4" t="s">
        <v>74</v>
      </c>
      <c r="F4">
        <v>450</v>
      </c>
      <c r="G4" s="4">
        <v>45421.458333333336</v>
      </c>
      <c r="H4">
        <v>18000</v>
      </c>
      <c r="I4" t="s">
        <v>94</v>
      </c>
      <c r="J4" t="s">
        <v>101</v>
      </c>
      <c r="K4" t="s">
        <v>89</v>
      </c>
      <c r="L4" s="4">
        <v>45421.645833333336</v>
      </c>
      <c r="M4">
        <v>17800</v>
      </c>
    </row>
    <row r="5" spans="1:13">
      <c r="A5">
        <v>4</v>
      </c>
      <c r="B5">
        <v>1</v>
      </c>
      <c r="C5" t="s">
        <v>5</v>
      </c>
      <c r="D5" t="s">
        <v>95</v>
      </c>
      <c r="E5" t="s">
        <v>96</v>
      </c>
      <c r="F5">
        <v>1200</v>
      </c>
      <c r="G5" s="4">
        <v>45421.541666666664</v>
      </c>
      <c r="H5">
        <v>7500</v>
      </c>
      <c r="I5" t="s">
        <v>97</v>
      </c>
      <c r="J5" t="s">
        <v>101</v>
      </c>
      <c r="K5" t="s">
        <v>89</v>
      </c>
      <c r="L5" s="4">
        <v>45421.75</v>
      </c>
      <c r="M5">
        <v>7200</v>
      </c>
    </row>
    <row r="6" spans="1:13">
      <c r="A6">
        <v>5</v>
      </c>
      <c r="B6">
        <v>1</v>
      </c>
      <c r="C6" t="s">
        <v>6</v>
      </c>
      <c r="D6" t="s">
        <v>98</v>
      </c>
      <c r="E6" t="s">
        <v>74</v>
      </c>
      <c r="F6">
        <v>1200</v>
      </c>
      <c r="G6" s="4">
        <v>45421.645833333336</v>
      </c>
      <c r="H6">
        <v>6000</v>
      </c>
      <c r="I6" t="s">
        <v>94</v>
      </c>
      <c r="J6" t="s">
        <v>101</v>
      </c>
      <c r="K6" t="s">
        <v>89</v>
      </c>
      <c r="L6" s="4">
        <v>45422.4375</v>
      </c>
      <c r="M6">
        <v>5980</v>
      </c>
    </row>
    <row r="7" spans="1:13">
      <c r="A7">
        <v>6</v>
      </c>
      <c r="B7">
        <v>2</v>
      </c>
      <c r="C7" t="s">
        <v>7</v>
      </c>
      <c r="D7" t="s">
        <v>99</v>
      </c>
      <c r="E7" t="s">
        <v>87</v>
      </c>
      <c r="F7">
        <v>600</v>
      </c>
      <c r="G7" s="4">
        <v>45421.708333333336</v>
      </c>
      <c r="H7">
        <v>15000</v>
      </c>
      <c r="I7" t="s">
        <v>88</v>
      </c>
      <c r="J7" t="s">
        <v>101</v>
      </c>
      <c r="K7" t="s">
        <v>92</v>
      </c>
      <c r="L7" s="4">
        <v>45422.333333333336</v>
      </c>
      <c r="M7">
        <v>14900</v>
      </c>
    </row>
    <row r="8" spans="1:13">
      <c r="A8">
        <v>7</v>
      </c>
      <c r="B8">
        <v>2</v>
      </c>
      <c r="C8" t="s">
        <v>8</v>
      </c>
      <c r="D8" t="s">
        <v>100</v>
      </c>
      <c r="E8" t="s">
        <v>74</v>
      </c>
      <c r="F8">
        <v>800</v>
      </c>
      <c r="G8" s="4">
        <v>45421.791666666664</v>
      </c>
      <c r="H8">
        <v>10000</v>
      </c>
      <c r="I8" t="s">
        <v>91</v>
      </c>
      <c r="J8" t="s">
        <v>101</v>
      </c>
      <c r="K8" t="s">
        <v>89</v>
      </c>
      <c r="L8" s="4">
        <v>45422.479166666664</v>
      </c>
      <c r="M8">
        <v>9950</v>
      </c>
    </row>
    <row r="9" spans="1:13">
      <c r="A9">
        <v>8</v>
      </c>
      <c r="B9">
        <v>2</v>
      </c>
      <c r="C9" t="s">
        <v>9</v>
      </c>
      <c r="D9" t="s">
        <v>93</v>
      </c>
      <c r="E9" t="s">
        <v>95</v>
      </c>
      <c r="F9">
        <v>50</v>
      </c>
      <c r="G9" s="4">
        <v>45421.854166666664</v>
      </c>
      <c r="H9">
        <v>5000</v>
      </c>
      <c r="I9" t="s">
        <v>88</v>
      </c>
      <c r="J9" t="s">
        <v>101</v>
      </c>
      <c r="K9" t="s">
        <v>92</v>
      </c>
      <c r="L9" s="4">
        <v>45421.895833333336</v>
      </c>
      <c r="M9">
        <v>5000</v>
      </c>
    </row>
    <row r="10" spans="1:13">
      <c r="A10">
        <v>9</v>
      </c>
      <c r="B10">
        <v>3</v>
      </c>
      <c r="C10" t="s">
        <v>10</v>
      </c>
      <c r="D10" t="s">
        <v>87</v>
      </c>
      <c r="E10" t="s">
        <v>90</v>
      </c>
      <c r="F10">
        <v>250</v>
      </c>
      <c r="G10" s="4">
        <v>45421.916666666664</v>
      </c>
      <c r="H10">
        <v>4500</v>
      </c>
      <c r="I10" t="s">
        <v>91</v>
      </c>
      <c r="J10" t="s">
        <v>101</v>
      </c>
      <c r="K10" t="s">
        <v>89</v>
      </c>
      <c r="L10" s="4">
        <v>45422.125</v>
      </c>
      <c r="M10">
        <v>4450</v>
      </c>
    </row>
    <row r="11" spans="1:13">
      <c r="A11">
        <v>10</v>
      </c>
      <c r="B11">
        <v>3</v>
      </c>
      <c r="C11" t="s">
        <v>11</v>
      </c>
      <c r="D11" t="s">
        <v>75</v>
      </c>
      <c r="E11" t="s">
        <v>74</v>
      </c>
      <c r="F11">
        <v>600</v>
      </c>
      <c r="G11" s="4">
        <v>45421.979166666664</v>
      </c>
      <c r="H11">
        <v>3000</v>
      </c>
      <c r="I11" t="s">
        <v>97</v>
      </c>
      <c r="J11" t="s">
        <v>101</v>
      </c>
      <c r="K11" t="s">
        <v>92</v>
      </c>
      <c r="L11" s="4">
        <v>45422.208333333336</v>
      </c>
      <c r="M11">
        <v>2980</v>
      </c>
    </row>
    <row r="12" spans="1:13">
      <c r="A12">
        <v>11</v>
      </c>
      <c r="B12">
        <v>1</v>
      </c>
      <c r="C12" t="s">
        <v>2</v>
      </c>
      <c r="D12" t="s">
        <v>74</v>
      </c>
      <c r="E12" t="s">
        <v>87</v>
      </c>
      <c r="F12">
        <v>950</v>
      </c>
      <c r="G12" s="4">
        <v>45421.333333333336</v>
      </c>
      <c r="H12">
        <v>30000</v>
      </c>
      <c r="I12" t="s">
        <v>88</v>
      </c>
      <c r="J12" t="s">
        <v>101</v>
      </c>
      <c r="K12" t="s">
        <v>89</v>
      </c>
      <c r="L12" s="4">
        <v>45422.625</v>
      </c>
      <c r="M12">
        <v>28000</v>
      </c>
    </row>
    <row r="13" spans="1:13">
      <c r="A13">
        <v>12</v>
      </c>
      <c r="B13">
        <v>1</v>
      </c>
      <c r="C13" t="s">
        <v>3</v>
      </c>
      <c r="D13" t="s">
        <v>90</v>
      </c>
      <c r="E13" t="s">
        <v>75</v>
      </c>
      <c r="F13">
        <v>400</v>
      </c>
      <c r="G13" s="4">
        <v>45421.395833333336</v>
      </c>
      <c r="H13">
        <v>10000</v>
      </c>
      <c r="I13" t="s">
        <v>91</v>
      </c>
      <c r="J13" t="s">
        <v>101</v>
      </c>
      <c r="K13" t="s">
        <v>92</v>
      </c>
      <c r="L13" s="4">
        <v>45422.5</v>
      </c>
      <c r="M13">
        <v>9800</v>
      </c>
    </row>
    <row r="14" spans="1:13">
      <c r="A14">
        <v>13</v>
      </c>
      <c r="B14">
        <v>1</v>
      </c>
      <c r="C14" t="s">
        <v>4</v>
      </c>
      <c r="D14" t="s">
        <v>93</v>
      </c>
      <c r="E14" t="s">
        <v>74</v>
      </c>
      <c r="F14">
        <v>450</v>
      </c>
      <c r="G14" s="4">
        <v>45421.458333333336</v>
      </c>
      <c r="H14">
        <v>18000</v>
      </c>
      <c r="I14" t="s">
        <v>94</v>
      </c>
      <c r="J14" t="s">
        <v>101</v>
      </c>
      <c r="K14" t="s">
        <v>89</v>
      </c>
      <c r="L14" s="4">
        <v>45421.645833333336</v>
      </c>
      <c r="M14">
        <v>17800</v>
      </c>
    </row>
    <row r="15" spans="1:13">
      <c r="A15">
        <v>14</v>
      </c>
      <c r="B15">
        <v>1</v>
      </c>
      <c r="C15" t="s">
        <v>5</v>
      </c>
      <c r="D15" t="s">
        <v>95</v>
      </c>
      <c r="E15" t="s">
        <v>96</v>
      </c>
      <c r="F15">
        <v>1200</v>
      </c>
      <c r="G15" s="4">
        <v>45421.541666666664</v>
      </c>
      <c r="H15">
        <v>7500</v>
      </c>
      <c r="I15" t="s">
        <v>97</v>
      </c>
      <c r="J15" t="s">
        <v>101</v>
      </c>
      <c r="K15" t="s">
        <v>89</v>
      </c>
      <c r="L15" s="4">
        <v>45421.75</v>
      </c>
      <c r="M15">
        <v>7200</v>
      </c>
    </row>
    <row r="16" spans="1:13">
      <c r="A16">
        <v>15</v>
      </c>
      <c r="B16">
        <v>1</v>
      </c>
      <c r="C16" t="s">
        <v>6</v>
      </c>
      <c r="D16" t="s">
        <v>98</v>
      </c>
      <c r="E16" t="s">
        <v>74</v>
      </c>
      <c r="F16">
        <v>1200</v>
      </c>
      <c r="G16" s="4">
        <v>45421.645833333336</v>
      </c>
      <c r="H16">
        <v>6000</v>
      </c>
      <c r="I16" t="s">
        <v>94</v>
      </c>
      <c r="J16" t="s">
        <v>101</v>
      </c>
      <c r="K16" t="s">
        <v>89</v>
      </c>
      <c r="L16" s="4">
        <v>45422.4375</v>
      </c>
      <c r="M16">
        <v>5980</v>
      </c>
    </row>
    <row r="17" spans="1:13">
      <c r="A17">
        <v>16</v>
      </c>
      <c r="B17">
        <v>2</v>
      </c>
      <c r="C17" t="s">
        <v>7</v>
      </c>
      <c r="D17" t="s">
        <v>99</v>
      </c>
      <c r="E17" t="s">
        <v>87</v>
      </c>
      <c r="F17">
        <v>600</v>
      </c>
      <c r="G17" s="4">
        <v>45421.708333333336</v>
      </c>
      <c r="H17">
        <v>15000</v>
      </c>
      <c r="I17" t="s">
        <v>88</v>
      </c>
      <c r="J17" t="s">
        <v>101</v>
      </c>
      <c r="K17" t="s">
        <v>92</v>
      </c>
      <c r="L17" s="4">
        <v>45422.333333333336</v>
      </c>
      <c r="M17">
        <v>15000</v>
      </c>
    </row>
    <row r="18" spans="1:13">
      <c r="A18">
        <v>17</v>
      </c>
      <c r="B18">
        <v>2</v>
      </c>
      <c r="C18" t="s">
        <v>8</v>
      </c>
      <c r="D18" t="s">
        <v>100</v>
      </c>
      <c r="E18" t="s">
        <v>74</v>
      </c>
      <c r="F18">
        <v>800</v>
      </c>
      <c r="G18" s="4">
        <v>45421.791666666664</v>
      </c>
      <c r="H18">
        <v>10000</v>
      </c>
      <c r="I18" t="s">
        <v>91</v>
      </c>
      <c r="J18" t="s">
        <v>101</v>
      </c>
      <c r="K18" t="s">
        <v>89</v>
      </c>
      <c r="L18" s="4">
        <v>45422.479166666664</v>
      </c>
      <c r="M18">
        <v>10000</v>
      </c>
    </row>
    <row r="19" spans="1:13">
      <c r="A19">
        <v>18</v>
      </c>
      <c r="B19">
        <v>2</v>
      </c>
      <c r="C19" t="s">
        <v>9</v>
      </c>
      <c r="D19" t="s">
        <v>93</v>
      </c>
      <c r="E19" t="s">
        <v>95</v>
      </c>
      <c r="F19">
        <v>50</v>
      </c>
      <c r="G19" s="4">
        <v>45421.854166666664</v>
      </c>
      <c r="H19">
        <v>5000</v>
      </c>
      <c r="I19" t="s">
        <v>88</v>
      </c>
      <c r="J19" t="s">
        <v>101</v>
      </c>
      <c r="K19" t="s">
        <v>92</v>
      </c>
      <c r="L19" s="4">
        <v>45421.895833333336</v>
      </c>
      <c r="M19">
        <v>5000</v>
      </c>
    </row>
    <row r="20" spans="1:13">
      <c r="A20">
        <v>19</v>
      </c>
      <c r="B20">
        <v>3</v>
      </c>
      <c r="C20" t="s">
        <v>10</v>
      </c>
      <c r="D20" t="s">
        <v>87</v>
      </c>
      <c r="E20" t="s">
        <v>90</v>
      </c>
      <c r="F20">
        <v>250</v>
      </c>
      <c r="G20" s="4">
        <v>45421.916666666664</v>
      </c>
      <c r="H20">
        <v>4500</v>
      </c>
      <c r="I20" t="s">
        <v>91</v>
      </c>
      <c r="J20" t="s">
        <v>101</v>
      </c>
      <c r="K20" t="s">
        <v>89</v>
      </c>
      <c r="L20" s="4">
        <v>45422.125</v>
      </c>
      <c r="M20">
        <v>4450</v>
      </c>
    </row>
    <row r="21" spans="1:13">
      <c r="A21">
        <v>20</v>
      </c>
      <c r="B21">
        <v>3</v>
      </c>
      <c r="C21" t="s">
        <v>11</v>
      </c>
      <c r="D21" t="s">
        <v>75</v>
      </c>
      <c r="E21" t="s">
        <v>74</v>
      </c>
      <c r="F21">
        <v>600</v>
      </c>
      <c r="G21" s="4">
        <v>45421.979166666664</v>
      </c>
      <c r="H21">
        <v>3000</v>
      </c>
      <c r="I21" t="s">
        <v>97</v>
      </c>
      <c r="J21" t="s">
        <v>101</v>
      </c>
      <c r="K21" t="s">
        <v>92</v>
      </c>
      <c r="L21" s="4">
        <v>45422.208333333336</v>
      </c>
      <c r="M21">
        <v>2980</v>
      </c>
    </row>
    <row r="22" spans="1:13">
      <c r="A22">
        <v>21</v>
      </c>
      <c r="B22">
        <v>1</v>
      </c>
      <c r="C22" t="s">
        <v>2</v>
      </c>
      <c r="D22" t="s">
        <v>74</v>
      </c>
      <c r="E22" t="s">
        <v>87</v>
      </c>
      <c r="F22">
        <v>950</v>
      </c>
      <c r="G22" s="4">
        <v>45421.333333333336</v>
      </c>
      <c r="H22">
        <v>30000</v>
      </c>
      <c r="I22" t="s">
        <v>88</v>
      </c>
      <c r="J22" t="s">
        <v>101</v>
      </c>
      <c r="K22" t="s">
        <v>89</v>
      </c>
      <c r="L22" s="4">
        <v>45422.625</v>
      </c>
      <c r="M22">
        <v>28000</v>
      </c>
    </row>
    <row r="23" spans="1:13">
      <c r="A23">
        <v>22</v>
      </c>
      <c r="B23">
        <v>1</v>
      </c>
      <c r="C23" t="s">
        <v>3</v>
      </c>
      <c r="D23" t="s">
        <v>90</v>
      </c>
      <c r="E23" t="s">
        <v>75</v>
      </c>
      <c r="F23">
        <v>400</v>
      </c>
      <c r="G23" s="4">
        <v>45421.395833333336</v>
      </c>
      <c r="H23">
        <v>10000</v>
      </c>
      <c r="I23" t="s">
        <v>91</v>
      </c>
      <c r="J23" t="s">
        <v>101</v>
      </c>
      <c r="K23" t="s">
        <v>92</v>
      </c>
      <c r="L23" s="4">
        <v>45422.5</v>
      </c>
      <c r="M23">
        <v>9800</v>
      </c>
    </row>
    <row r="24" spans="1:13">
      <c r="A24">
        <v>23</v>
      </c>
      <c r="B24">
        <v>1</v>
      </c>
      <c r="C24" t="s">
        <v>4</v>
      </c>
      <c r="D24" t="s">
        <v>93</v>
      </c>
      <c r="E24" t="s">
        <v>74</v>
      </c>
      <c r="F24">
        <v>450</v>
      </c>
      <c r="G24" s="4">
        <v>45421.458333333336</v>
      </c>
      <c r="H24">
        <v>18000</v>
      </c>
      <c r="I24" t="s">
        <v>94</v>
      </c>
      <c r="J24" t="s">
        <v>101</v>
      </c>
      <c r="K24" t="s">
        <v>89</v>
      </c>
      <c r="L24" s="4">
        <v>45421.645833333336</v>
      </c>
      <c r="M24">
        <v>17800</v>
      </c>
    </row>
    <row r="25" spans="1:13">
      <c r="A25">
        <v>24</v>
      </c>
      <c r="B25">
        <v>1</v>
      </c>
      <c r="C25" t="s">
        <v>5</v>
      </c>
      <c r="D25" t="s">
        <v>95</v>
      </c>
      <c r="E25" t="s">
        <v>96</v>
      </c>
      <c r="F25">
        <v>1200</v>
      </c>
      <c r="G25" s="4">
        <v>45421.541666666664</v>
      </c>
      <c r="H25">
        <v>7500</v>
      </c>
      <c r="I25" t="s">
        <v>97</v>
      </c>
      <c r="J25" t="s">
        <v>101</v>
      </c>
      <c r="K25" t="s">
        <v>89</v>
      </c>
      <c r="L25" s="4">
        <v>45421.75</v>
      </c>
      <c r="M25">
        <v>7200</v>
      </c>
    </row>
    <row r="26" spans="1:13">
      <c r="A26">
        <v>25</v>
      </c>
      <c r="B26">
        <v>1</v>
      </c>
      <c r="C26" t="s">
        <v>6</v>
      </c>
      <c r="D26" t="s">
        <v>98</v>
      </c>
      <c r="E26" t="s">
        <v>74</v>
      </c>
      <c r="F26">
        <v>1200</v>
      </c>
      <c r="G26" s="4">
        <v>45421.645833333336</v>
      </c>
      <c r="H26">
        <v>6000</v>
      </c>
      <c r="I26" t="s">
        <v>94</v>
      </c>
      <c r="J26" t="s">
        <v>101</v>
      </c>
      <c r="K26" t="s">
        <v>89</v>
      </c>
      <c r="L26" s="4">
        <v>45422.4375</v>
      </c>
      <c r="M26">
        <v>5980</v>
      </c>
    </row>
    <row r="27" spans="1:13">
      <c r="A27">
        <v>26</v>
      </c>
      <c r="B27">
        <v>2</v>
      </c>
      <c r="C27" t="s">
        <v>7</v>
      </c>
      <c r="D27" t="s">
        <v>99</v>
      </c>
      <c r="E27" t="s">
        <v>87</v>
      </c>
      <c r="F27">
        <v>600</v>
      </c>
      <c r="G27" s="4">
        <v>45421.708333333336</v>
      </c>
      <c r="H27">
        <v>15000</v>
      </c>
      <c r="I27" t="s">
        <v>88</v>
      </c>
      <c r="J27" t="s">
        <v>101</v>
      </c>
      <c r="K27" t="s">
        <v>92</v>
      </c>
      <c r="L27" s="4">
        <v>45422.333333333336</v>
      </c>
      <c r="M27">
        <v>15000</v>
      </c>
    </row>
    <row r="28" spans="1:13">
      <c r="A28">
        <v>27</v>
      </c>
      <c r="B28">
        <v>2</v>
      </c>
      <c r="C28" t="s">
        <v>8</v>
      </c>
      <c r="D28" t="s">
        <v>100</v>
      </c>
      <c r="E28" t="s">
        <v>74</v>
      </c>
      <c r="F28">
        <v>800</v>
      </c>
      <c r="G28" s="4">
        <v>45421.791666666664</v>
      </c>
      <c r="H28">
        <v>10000</v>
      </c>
      <c r="I28" t="s">
        <v>91</v>
      </c>
      <c r="J28" t="s">
        <v>101</v>
      </c>
      <c r="K28" t="s">
        <v>89</v>
      </c>
      <c r="L28" s="4">
        <v>45422.479166666664</v>
      </c>
      <c r="M28">
        <v>10000</v>
      </c>
    </row>
    <row r="29" spans="1:13">
      <c r="A29">
        <v>28</v>
      </c>
      <c r="B29">
        <v>2</v>
      </c>
      <c r="C29" t="s">
        <v>9</v>
      </c>
      <c r="D29" t="s">
        <v>93</v>
      </c>
      <c r="E29" t="s">
        <v>95</v>
      </c>
      <c r="F29">
        <v>50</v>
      </c>
      <c r="G29" s="4">
        <v>45421.854166666664</v>
      </c>
      <c r="H29">
        <v>5000</v>
      </c>
      <c r="I29" t="s">
        <v>88</v>
      </c>
      <c r="J29" t="s">
        <v>101</v>
      </c>
      <c r="K29" t="s">
        <v>92</v>
      </c>
      <c r="L29" s="4">
        <v>45421.895833333336</v>
      </c>
      <c r="M29">
        <v>5000</v>
      </c>
    </row>
    <row r="30" spans="1:13">
      <c r="A30">
        <v>29</v>
      </c>
      <c r="B30">
        <v>3</v>
      </c>
      <c r="C30" t="s">
        <v>10</v>
      </c>
      <c r="D30" t="s">
        <v>87</v>
      </c>
      <c r="E30" t="s">
        <v>90</v>
      </c>
      <c r="F30">
        <v>250</v>
      </c>
      <c r="G30" s="4">
        <v>45421.916666666664</v>
      </c>
      <c r="H30">
        <v>4500</v>
      </c>
      <c r="I30" t="s">
        <v>91</v>
      </c>
      <c r="J30" t="s">
        <v>101</v>
      </c>
      <c r="K30" t="s">
        <v>89</v>
      </c>
      <c r="L30" s="4">
        <v>45422.125</v>
      </c>
      <c r="M30">
        <v>4450</v>
      </c>
    </row>
    <row r="31" spans="1:13">
      <c r="A31">
        <v>30</v>
      </c>
      <c r="B31">
        <v>3</v>
      </c>
      <c r="C31" t="s">
        <v>11</v>
      </c>
      <c r="D31" t="s">
        <v>75</v>
      </c>
      <c r="E31" t="s">
        <v>74</v>
      </c>
      <c r="F31">
        <v>600</v>
      </c>
      <c r="G31" s="4">
        <v>45421.979166666664</v>
      </c>
      <c r="H31">
        <v>3000</v>
      </c>
      <c r="I31" t="s">
        <v>97</v>
      </c>
      <c r="J31" t="s">
        <v>101</v>
      </c>
      <c r="K31" t="s">
        <v>92</v>
      </c>
      <c r="L31" s="4">
        <v>45422.208333333336</v>
      </c>
      <c r="M31">
        <v>2980</v>
      </c>
    </row>
    <row r="32" spans="1:13">
      <c r="A32">
        <v>31</v>
      </c>
      <c r="B32">
        <v>1</v>
      </c>
      <c r="C32" t="s">
        <v>2</v>
      </c>
      <c r="D32" t="s">
        <v>74</v>
      </c>
      <c r="E32" t="s">
        <v>87</v>
      </c>
      <c r="F32">
        <v>950</v>
      </c>
      <c r="G32" s="4">
        <v>45421.333333333336</v>
      </c>
      <c r="H32">
        <v>30000</v>
      </c>
      <c r="I32" t="s">
        <v>88</v>
      </c>
      <c r="J32" t="s">
        <v>101</v>
      </c>
      <c r="K32" t="s">
        <v>89</v>
      </c>
      <c r="L32" s="4">
        <v>45422.625</v>
      </c>
      <c r="M32">
        <v>28000</v>
      </c>
    </row>
    <row r="33" spans="1:13">
      <c r="A33">
        <v>32</v>
      </c>
      <c r="B33">
        <v>1</v>
      </c>
      <c r="C33" t="s">
        <v>3</v>
      </c>
      <c r="D33" t="s">
        <v>90</v>
      </c>
      <c r="E33" t="s">
        <v>75</v>
      </c>
      <c r="F33">
        <v>400</v>
      </c>
      <c r="G33" s="4">
        <v>45421.395833333336</v>
      </c>
      <c r="H33">
        <v>10000</v>
      </c>
      <c r="I33" t="s">
        <v>91</v>
      </c>
      <c r="J33" t="s">
        <v>101</v>
      </c>
      <c r="K33" t="s">
        <v>92</v>
      </c>
      <c r="L33" s="4">
        <v>45422.5</v>
      </c>
      <c r="M33">
        <v>9800</v>
      </c>
    </row>
    <row r="34" spans="1:13">
      <c r="A34">
        <v>33</v>
      </c>
      <c r="B34">
        <v>1</v>
      </c>
      <c r="C34" t="s">
        <v>4</v>
      </c>
      <c r="D34" t="s">
        <v>93</v>
      </c>
      <c r="E34" t="s">
        <v>74</v>
      </c>
      <c r="F34">
        <v>450</v>
      </c>
      <c r="G34" s="4">
        <v>45421.458333333336</v>
      </c>
      <c r="H34">
        <v>18000</v>
      </c>
      <c r="I34" t="s">
        <v>94</v>
      </c>
      <c r="J34" t="s">
        <v>101</v>
      </c>
      <c r="K34" t="s">
        <v>89</v>
      </c>
      <c r="L34" s="4">
        <v>45421.645833333336</v>
      </c>
      <c r="M34">
        <v>17800</v>
      </c>
    </row>
    <row r="35" spans="1:13">
      <c r="A35">
        <v>34</v>
      </c>
      <c r="B35">
        <v>1</v>
      </c>
      <c r="C35" t="s">
        <v>5</v>
      </c>
      <c r="D35" t="s">
        <v>95</v>
      </c>
      <c r="E35" t="s">
        <v>96</v>
      </c>
      <c r="F35">
        <v>1200</v>
      </c>
      <c r="G35" s="4">
        <v>45421.541666666664</v>
      </c>
      <c r="H35">
        <v>7500</v>
      </c>
      <c r="I35" t="s">
        <v>97</v>
      </c>
      <c r="J35" t="s">
        <v>101</v>
      </c>
      <c r="K35" t="s">
        <v>89</v>
      </c>
      <c r="L35" s="4">
        <v>45421.75</v>
      </c>
      <c r="M35">
        <v>7200</v>
      </c>
    </row>
    <row r="36" spans="1:13">
      <c r="A36">
        <v>35</v>
      </c>
      <c r="B36">
        <v>1</v>
      </c>
      <c r="C36" t="s">
        <v>6</v>
      </c>
      <c r="D36" t="s">
        <v>98</v>
      </c>
      <c r="E36" t="s">
        <v>74</v>
      </c>
      <c r="F36">
        <v>1200</v>
      </c>
      <c r="G36" s="4">
        <v>45421.645833333336</v>
      </c>
      <c r="H36">
        <v>6000</v>
      </c>
      <c r="I36" t="s">
        <v>94</v>
      </c>
      <c r="J36" t="s">
        <v>101</v>
      </c>
      <c r="K36" t="s">
        <v>89</v>
      </c>
      <c r="L36" s="4">
        <v>45422.4375</v>
      </c>
      <c r="M36">
        <v>5980</v>
      </c>
    </row>
    <row r="37" spans="1:13">
      <c r="A37">
        <v>36</v>
      </c>
      <c r="B37">
        <v>2</v>
      </c>
      <c r="C37" t="s">
        <v>7</v>
      </c>
      <c r="D37" t="s">
        <v>99</v>
      </c>
      <c r="E37" t="s">
        <v>87</v>
      </c>
      <c r="F37">
        <v>600</v>
      </c>
      <c r="G37" s="4">
        <v>45421.708333333336</v>
      </c>
      <c r="H37">
        <v>15000</v>
      </c>
      <c r="I37" t="s">
        <v>88</v>
      </c>
      <c r="J37" t="s">
        <v>101</v>
      </c>
      <c r="K37" t="s">
        <v>92</v>
      </c>
      <c r="L37" s="4">
        <v>45422.333333333336</v>
      </c>
      <c r="M37">
        <v>15000</v>
      </c>
    </row>
    <row r="38" spans="1:13">
      <c r="A38">
        <v>37</v>
      </c>
      <c r="B38">
        <v>2</v>
      </c>
      <c r="C38" t="s">
        <v>8</v>
      </c>
      <c r="D38" t="s">
        <v>100</v>
      </c>
      <c r="E38" t="s">
        <v>74</v>
      </c>
      <c r="F38">
        <v>800</v>
      </c>
      <c r="G38" s="4">
        <v>45421.791666666664</v>
      </c>
      <c r="H38">
        <v>10000</v>
      </c>
      <c r="I38" t="s">
        <v>91</v>
      </c>
      <c r="J38" t="s">
        <v>101</v>
      </c>
      <c r="K38" t="s">
        <v>89</v>
      </c>
      <c r="L38" s="4">
        <v>45422.479166666664</v>
      </c>
      <c r="M38">
        <v>10000</v>
      </c>
    </row>
    <row r="39" spans="1:13">
      <c r="A39">
        <v>38</v>
      </c>
      <c r="B39">
        <v>2</v>
      </c>
      <c r="C39" t="s">
        <v>9</v>
      </c>
      <c r="D39" t="s">
        <v>93</v>
      </c>
      <c r="E39" t="s">
        <v>95</v>
      </c>
      <c r="F39">
        <v>50</v>
      </c>
      <c r="G39" s="4">
        <v>45421.854166666664</v>
      </c>
      <c r="H39">
        <v>5000</v>
      </c>
      <c r="I39" t="s">
        <v>88</v>
      </c>
      <c r="J39" t="s">
        <v>101</v>
      </c>
      <c r="K39" t="s">
        <v>92</v>
      </c>
      <c r="L39" s="4">
        <v>45421.895833333336</v>
      </c>
      <c r="M39">
        <v>5000</v>
      </c>
    </row>
    <row r="40" spans="1:13">
      <c r="A40">
        <v>39</v>
      </c>
      <c r="B40">
        <v>3</v>
      </c>
      <c r="C40" t="s">
        <v>10</v>
      </c>
      <c r="D40" t="s">
        <v>87</v>
      </c>
      <c r="E40" t="s">
        <v>90</v>
      </c>
      <c r="F40">
        <v>250</v>
      </c>
      <c r="G40" s="4">
        <v>45421.916666666664</v>
      </c>
      <c r="H40">
        <v>4500</v>
      </c>
      <c r="I40" t="s">
        <v>91</v>
      </c>
      <c r="J40" t="s">
        <v>101</v>
      </c>
      <c r="K40" t="s">
        <v>89</v>
      </c>
      <c r="L40" s="4">
        <v>45422.125</v>
      </c>
      <c r="M40">
        <v>4450</v>
      </c>
    </row>
    <row r="41" spans="1:13">
      <c r="A41">
        <v>40</v>
      </c>
      <c r="B41">
        <v>3</v>
      </c>
      <c r="C41" t="s">
        <v>11</v>
      </c>
      <c r="D41" t="s">
        <v>75</v>
      </c>
      <c r="E41" t="s">
        <v>74</v>
      </c>
      <c r="F41">
        <v>600</v>
      </c>
      <c r="G41" s="4">
        <v>45421.979166666664</v>
      </c>
      <c r="H41">
        <v>3000</v>
      </c>
      <c r="I41" t="s">
        <v>97</v>
      </c>
      <c r="J41" t="s">
        <v>101</v>
      </c>
      <c r="K41" t="s">
        <v>92</v>
      </c>
      <c r="L41" s="4">
        <v>45422.208333333336</v>
      </c>
      <c r="M41">
        <v>2980</v>
      </c>
    </row>
    <row r="42" spans="1:13">
      <c r="A42">
        <v>41</v>
      </c>
      <c r="B42">
        <v>1</v>
      </c>
      <c r="C42" t="s">
        <v>2</v>
      </c>
      <c r="D42" t="s">
        <v>74</v>
      </c>
      <c r="E42" t="s">
        <v>87</v>
      </c>
      <c r="F42">
        <v>950</v>
      </c>
      <c r="G42" s="4">
        <v>45421.333333333336</v>
      </c>
      <c r="H42">
        <v>30000</v>
      </c>
      <c r="I42" t="s">
        <v>88</v>
      </c>
      <c r="J42" t="s">
        <v>101</v>
      </c>
      <c r="K42" t="s">
        <v>89</v>
      </c>
      <c r="L42" s="4">
        <v>45422.625</v>
      </c>
      <c r="M42">
        <v>28000</v>
      </c>
    </row>
    <row r="43" spans="1:13">
      <c r="A43">
        <v>42</v>
      </c>
      <c r="B43">
        <v>1</v>
      </c>
      <c r="C43" t="s">
        <v>3</v>
      </c>
      <c r="D43" t="s">
        <v>90</v>
      </c>
      <c r="E43" t="s">
        <v>75</v>
      </c>
      <c r="F43">
        <v>400</v>
      </c>
      <c r="G43" s="4">
        <v>45421.395833333336</v>
      </c>
      <c r="H43">
        <v>10000</v>
      </c>
      <c r="I43" t="s">
        <v>91</v>
      </c>
      <c r="J43" t="s">
        <v>101</v>
      </c>
      <c r="K43" t="s">
        <v>92</v>
      </c>
      <c r="L43" s="4">
        <v>45422.5</v>
      </c>
      <c r="M43">
        <v>9800</v>
      </c>
    </row>
    <row r="44" spans="1:13">
      <c r="A44">
        <v>43</v>
      </c>
      <c r="B44">
        <v>1</v>
      </c>
      <c r="C44" t="s">
        <v>4</v>
      </c>
      <c r="D44" t="s">
        <v>93</v>
      </c>
      <c r="E44" t="s">
        <v>74</v>
      </c>
      <c r="F44">
        <v>450</v>
      </c>
      <c r="G44" s="4">
        <v>45421.458333333336</v>
      </c>
      <c r="H44">
        <v>18000</v>
      </c>
      <c r="I44" t="s">
        <v>94</v>
      </c>
      <c r="J44" t="s">
        <v>101</v>
      </c>
      <c r="K44" t="s">
        <v>89</v>
      </c>
      <c r="L44" s="4">
        <v>45421.645833333336</v>
      </c>
      <c r="M44">
        <v>17800</v>
      </c>
    </row>
    <row r="45" spans="1:13">
      <c r="A45">
        <v>44</v>
      </c>
      <c r="B45">
        <v>1</v>
      </c>
      <c r="C45" t="s">
        <v>5</v>
      </c>
      <c r="D45" t="s">
        <v>95</v>
      </c>
      <c r="E45" t="s">
        <v>96</v>
      </c>
      <c r="F45">
        <v>1200</v>
      </c>
      <c r="G45" s="4">
        <v>45421.541666666664</v>
      </c>
      <c r="H45">
        <v>7500</v>
      </c>
      <c r="I45" t="s">
        <v>97</v>
      </c>
      <c r="J45" t="s">
        <v>101</v>
      </c>
      <c r="K45" t="s">
        <v>89</v>
      </c>
      <c r="L45" s="4">
        <v>45421.75</v>
      </c>
      <c r="M45">
        <v>7200</v>
      </c>
    </row>
    <row r="46" spans="1:13">
      <c r="A46">
        <v>45</v>
      </c>
      <c r="B46">
        <v>1</v>
      </c>
      <c r="C46" t="s">
        <v>6</v>
      </c>
      <c r="D46" t="s">
        <v>98</v>
      </c>
      <c r="E46" t="s">
        <v>74</v>
      </c>
      <c r="F46">
        <v>1200</v>
      </c>
      <c r="G46" s="4">
        <v>45421.645833333336</v>
      </c>
      <c r="H46">
        <v>6000</v>
      </c>
      <c r="I46" t="s">
        <v>94</v>
      </c>
      <c r="J46" t="s">
        <v>101</v>
      </c>
      <c r="K46" t="s">
        <v>89</v>
      </c>
      <c r="L46" s="4">
        <v>45422.4375</v>
      </c>
      <c r="M46">
        <v>5980</v>
      </c>
    </row>
    <row r="47" spans="1:13">
      <c r="A47">
        <v>46</v>
      </c>
      <c r="B47">
        <v>2</v>
      </c>
      <c r="C47" t="s">
        <v>7</v>
      </c>
      <c r="D47" t="s">
        <v>99</v>
      </c>
      <c r="E47" t="s">
        <v>87</v>
      </c>
      <c r="F47">
        <v>600</v>
      </c>
      <c r="G47" s="4">
        <v>45421.708333333336</v>
      </c>
      <c r="H47">
        <v>15000</v>
      </c>
      <c r="I47" t="s">
        <v>88</v>
      </c>
      <c r="J47" t="s">
        <v>101</v>
      </c>
      <c r="K47" t="s">
        <v>92</v>
      </c>
      <c r="L47" s="4">
        <v>45422.333333333336</v>
      </c>
      <c r="M47">
        <v>15000</v>
      </c>
    </row>
    <row r="48" spans="1:13">
      <c r="A48">
        <v>47</v>
      </c>
      <c r="B48">
        <v>2</v>
      </c>
      <c r="C48" t="s">
        <v>8</v>
      </c>
      <c r="D48" t="s">
        <v>100</v>
      </c>
      <c r="E48" t="s">
        <v>74</v>
      </c>
      <c r="F48">
        <v>800</v>
      </c>
      <c r="G48" s="4">
        <v>45421.791666666664</v>
      </c>
      <c r="H48">
        <v>10000</v>
      </c>
      <c r="I48" t="s">
        <v>91</v>
      </c>
      <c r="J48" t="s">
        <v>101</v>
      </c>
      <c r="K48" t="s">
        <v>89</v>
      </c>
      <c r="L48" s="4">
        <v>45422.479166666664</v>
      </c>
      <c r="M48">
        <v>10000</v>
      </c>
    </row>
    <row r="49" spans="1:13">
      <c r="A49">
        <v>48</v>
      </c>
      <c r="B49">
        <v>2</v>
      </c>
      <c r="C49" t="s">
        <v>9</v>
      </c>
      <c r="D49" t="s">
        <v>93</v>
      </c>
      <c r="E49" t="s">
        <v>95</v>
      </c>
      <c r="F49">
        <v>50</v>
      </c>
      <c r="G49" s="4">
        <v>45421.854166666664</v>
      </c>
      <c r="H49">
        <v>5000</v>
      </c>
      <c r="I49" t="s">
        <v>88</v>
      </c>
      <c r="J49" t="s">
        <v>101</v>
      </c>
      <c r="K49" t="s">
        <v>92</v>
      </c>
      <c r="L49" s="4">
        <v>45421.895833333336</v>
      </c>
      <c r="M49">
        <v>5000</v>
      </c>
    </row>
    <row r="50" spans="1:13">
      <c r="A50">
        <v>49</v>
      </c>
      <c r="B50">
        <v>3</v>
      </c>
      <c r="C50" t="s">
        <v>10</v>
      </c>
      <c r="D50" t="s">
        <v>87</v>
      </c>
      <c r="E50" t="s">
        <v>90</v>
      </c>
      <c r="F50">
        <v>250</v>
      </c>
      <c r="G50" s="4">
        <v>45421.916666666664</v>
      </c>
      <c r="H50">
        <v>4500</v>
      </c>
      <c r="I50" t="s">
        <v>91</v>
      </c>
      <c r="J50" t="s">
        <v>101</v>
      </c>
      <c r="K50" t="s">
        <v>89</v>
      </c>
      <c r="L50" s="4">
        <v>45422.125</v>
      </c>
      <c r="M50">
        <v>4450</v>
      </c>
    </row>
    <row r="51" spans="1:13">
      <c r="A51">
        <v>50</v>
      </c>
      <c r="B51">
        <v>3</v>
      </c>
      <c r="C51" t="s">
        <v>11</v>
      </c>
      <c r="D51" t="s">
        <v>75</v>
      </c>
      <c r="E51" t="s">
        <v>74</v>
      </c>
      <c r="F51">
        <v>600</v>
      </c>
      <c r="G51" s="4">
        <v>45421.979166666664</v>
      </c>
      <c r="H51">
        <v>3000</v>
      </c>
      <c r="I51" t="s">
        <v>97</v>
      </c>
      <c r="J51" t="s">
        <v>101</v>
      </c>
      <c r="K51" t="s">
        <v>92</v>
      </c>
      <c r="L51" s="4">
        <v>45422.208333333336</v>
      </c>
      <c r="M51">
        <v>2980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activeCell="H11" sqref="H11"/>
    </sheetView>
  </sheetViews>
  <sheetFormatPr defaultRowHeight="15"/>
  <cols>
    <col min="1" max="1" width="8.5703125"/>
    <col min="2" max="2" width="26.7109375"/>
    <col min="3" max="3" width="10" bestFit="1" customWidth="1"/>
    <col min="4" max="4" width="16.140625"/>
    <col min="5" max="5" width="18.7109375"/>
    <col min="6" max="6" width="17"/>
    <col min="7" max="7" width="23.28515625" bestFit="1" customWidth="1"/>
    <col min="8" max="8" width="19.7109375" bestFit="1" customWidth="1"/>
    <col min="9" max="1026" width="8.5703125"/>
  </cols>
  <sheetData>
    <row r="1" spans="1:8">
      <c r="A1" s="1" t="s">
        <v>60</v>
      </c>
      <c r="B1" t="s">
        <v>61</v>
      </c>
      <c r="C1" s="1" t="s">
        <v>57</v>
      </c>
      <c r="D1" s="1" t="s">
        <v>56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1</v>
      </c>
      <c r="B2" t="s">
        <v>23</v>
      </c>
      <c r="C2">
        <v>1</v>
      </c>
      <c r="D2" t="s">
        <v>2</v>
      </c>
      <c r="E2">
        <v>24.678695000000001</v>
      </c>
      <c r="F2">
        <v>46.689010000000003</v>
      </c>
      <c r="G2" s="2" t="s">
        <v>62</v>
      </c>
      <c r="H2" t="s">
        <v>16</v>
      </c>
    </row>
    <row r="3" spans="1:8">
      <c r="A3">
        <v>2</v>
      </c>
      <c r="B3" t="s">
        <v>23</v>
      </c>
      <c r="C3">
        <v>1</v>
      </c>
      <c r="D3" t="s">
        <v>3</v>
      </c>
      <c r="E3">
        <v>24.668092000000001</v>
      </c>
      <c r="F3">
        <v>46.698726000000001</v>
      </c>
      <c r="G3" s="2" t="s">
        <v>62</v>
      </c>
      <c r="H3" t="s">
        <v>16</v>
      </c>
    </row>
    <row r="4" spans="1:8">
      <c r="A4">
        <v>3</v>
      </c>
      <c r="B4" t="s">
        <v>23</v>
      </c>
      <c r="C4">
        <v>1</v>
      </c>
      <c r="D4" t="s">
        <v>4</v>
      </c>
      <c r="E4">
        <v>24.647334000000001</v>
      </c>
      <c r="F4">
        <v>46.701631999999996</v>
      </c>
      <c r="G4" s="2" t="s">
        <v>62</v>
      </c>
      <c r="H4" t="s">
        <v>16</v>
      </c>
    </row>
    <row r="5" spans="1:8">
      <c r="A5">
        <v>4</v>
      </c>
      <c r="B5" t="s">
        <v>23</v>
      </c>
      <c r="C5">
        <v>1</v>
      </c>
      <c r="D5" t="s">
        <v>5</v>
      </c>
      <c r="E5">
        <v>24.632529000000002</v>
      </c>
      <c r="F5">
        <v>46.704549</v>
      </c>
      <c r="G5" s="2" t="s">
        <v>62</v>
      </c>
      <c r="H5" t="s">
        <v>16</v>
      </c>
    </row>
    <row r="6" spans="1:8">
      <c r="A6">
        <v>5</v>
      </c>
      <c r="B6" t="s">
        <v>23</v>
      </c>
      <c r="C6">
        <v>1</v>
      </c>
      <c r="D6" t="s">
        <v>6</v>
      </c>
      <c r="E6">
        <v>24.601165000000002</v>
      </c>
      <c r="F6">
        <v>46.704543999999999</v>
      </c>
      <c r="G6" s="2" t="s">
        <v>62</v>
      </c>
      <c r="H6" t="s">
        <v>16</v>
      </c>
    </row>
    <row r="7" spans="1:8">
      <c r="A7">
        <v>6</v>
      </c>
      <c r="B7" t="s">
        <v>23</v>
      </c>
      <c r="C7">
        <v>2</v>
      </c>
      <c r="D7" t="s">
        <v>7</v>
      </c>
      <c r="E7">
        <v>24.625764</v>
      </c>
      <c r="F7">
        <v>46.578265000000002</v>
      </c>
      <c r="G7" s="2" t="s">
        <v>62</v>
      </c>
      <c r="H7" t="s">
        <v>16</v>
      </c>
    </row>
    <row r="8" spans="1:8">
      <c r="A8">
        <v>7</v>
      </c>
      <c r="B8" t="s">
        <v>23</v>
      </c>
      <c r="C8">
        <v>2</v>
      </c>
      <c r="D8" t="s">
        <v>8</v>
      </c>
      <c r="E8">
        <v>24.666495999999999</v>
      </c>
      <c r="F8">
        <v>46.619283000000003</v>
      </c>
      <c r="G8" s="2" t="s">
        <v>62</v>
      </c>
      <c r="H8" t="s">
        <v>16</v>
      </c>
    </row>
    <row r="9" spans="1:8">
      <c r="A9">
        <v>8</v>
      </c>
      <c r="B9" t="s">
        <v>17</v>
      </c>
      <c r="C9">
        <v>2</v>
      </c>
      <c r="D9" t="s">
        <v>9</v>
      </c>
      <c r="E9">
        <v>24.695917999999999</v>
      </c>
      <c r="F9">
        <v>46.628231999999997</v>
      </c>
      <c r="G9" s="2" t="s">
        <v>62</v>
      </c>
      <c r="H9" t="s">
        <v>17</v>
      </c>
    </row>
    <row r="10" spans="1:8">
      <c r="A10">
        <v>9</v>
      </c>
      <c r="B10" t="s">
        <v>18</v>
      </c>
      <c r="C10">
        <v>3</v>
      </c>
      <c r="D10" t="s">
        <v>9</v>
      </c>
      <c r="E10">
        <v>24.696961999999999</v>
      </c>
      <c r="F10">
        <v>46.733758999999999</v>
      </c>
      <c r="G10" s="2" t="s">
        <v>62</v>
      </c>
      <c r="H10" t="s">
        <v>18</v>
      </c>
    </row>
    <row r="11" spans="1:8">
      <c r="A11">
        <v>10</v>
      </c>
      <c r="B11" t="s">
        <v>17</v>
      </c>
      <c r="C11">
        <v>3</v>
      </c>
      <c r="D11" t="s">
        <v>11</v>
      </c>
      <c r="E11">
        <v>24.612100999999999</v>
      </c>
      <c r="F11">
        <v>46.765498999999998</v>
      </c>
      <c r="G11" s="2" t="s">
        <v>62</v>
      </c>
      <c r="H11" t="s">
        <v>17</v>
      </c>
    </row>
  </sheetData>
  <pageMargins left="0.7" right="0.7" top="0.75" bottom="0.75" header="0.51180555555555496" footer="0.51180555555555496"/>
  <pageSetup firstPageNumber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13" zoomScaleNormal="100" workbookViewId="0">
      <selection sqref="A1:D31"/>
    </sheetView>
  </sheetViews>
  <sheetFormatPr defaultRowHeight="15"/>
  <cols>
    <col min="1" max="1" width="11.140625"/>
    <col min="2" max="2" width="8.5703125" bestFit="1" customWidth="1"/>
    <col min="3" max="4" width="10"/>
    <col min="5" max="5" width="5" bestFit="1" customWidth="1"/>
    <col min="6" max="6" width="8.5703125"/>
    <col min="7" max="7" width="9.7109375" bestFit="1" customWidth="1"/>
    <col min="8" max="9" width="8" bestFit="1" customWidth="1"/>
    <col min="10" max="10" width="8.5703125"/>
    <col min="11" max="11" width="14.28515625" bestFit="1" customWidth="1"/>
    <col min="12" max="1025" width="8.5703125"/>
  </cols>
  <sheetData>
    <row r="1" spans="1:4">
      <c r="A1" t="s">
        <v>24</v>
      </c>
      <c r="B1" t="s">
        <v>25</v>
      </c>
      <c r="C1" t="s">
        <v>26</v>
      </c>
      <c r="D1" t="s">
        <v>27</v>
      </c>
    </row>
    <row r="2" spans="1:4">
      <c r="A2">
        <v>1</v>
      </c>
      <c r="B2" t="s">
        <v>28</v>
      </c>
      <c r="C2">
        <v>24.587700999999999</v>
      </c>
      <c r="D2">
        <v>46.705393000000001</v>
      </c>
    </row>
    <row r="3" spans="1:4">
      <c r="A3">
        <v>2</v>
      </c>
      <c r="B3" t="s">
        <v>28</v>
      </c>
      <c r="C3">
        <v>24.623253999999999</v>
      </c>
      <c r="D3">
        <v>46.705817000000003</v>
      </c>
    </row>
    <row r="4" spans="1:4">
      <c r="A4">
        <v>3</v>
      </c>
      <c r="B4" t="s">
        <v>28</v>
      </c>
      <c r="C4">
        <v>24.655111000000002</v>
      </c>
      <c r="D4">
        <v>46.700336999999998</v>
      </c>
    </row>
    <row r="5" spans="1:4">
      <c r="A5">
        <v>4</v>
      </c>
      <c r="B5" t="s">
        <v>28</v>
      </c>
      <c r="C5">
        <v>24.677600999999999</v>
      </c>
      <c r="D5">
        <v>46.688664000000003</v>
      </c>
    </row>
    <row r="6" spans="1:4">
      <c r="A6">
        <v>5</v>
      </c>
      <c r="B6" t="s">
        <v>28</v>
      </c>
      <c r="C6">
        <v>24.698215999999999</v>
      </c>
      <c r="D6">
        <v>46.678361000000002</v>
      </c>
    </row>
    <row r="7" spans="1:4">
      <c r="A7">
        <v>6</v>
      </c>
      <c r="B7" t="s">
        <v>28</v>
      </c>
      <c r="C7">
        <v>24.724105999999999</v>
      </c>
      <c r="D7">
        <v>46.664954999999999</v>
      </c>
    </row>
    <row r="8" spans="1:4">
      <c r="A8">
        <v>7</v>
      </c>
      <c r="B8" t="s">
        <v>28</v>
      </c>
      <c r="C8">
        <v>24.739093</v>
      </c>
      <c r="D8">
        <v>46.658073999999999</v>
      </c>
    </row>
    <row r="9" spans="1:4">
      <c r="A9">
        <v>8</v>
      </c>
      <c r="B9" t="s">
        <v>28</v>
      </c>
      <c r="C9">
        <v>24.750646</v>
      </c>
      <c r="D9">
        <v>46.652566999999998</v>
      </c>
    </row>
    <row r="10" spans="1:4">
      <c r="A10">
        <v>9</v>
      </c>
      <c r="B10" t="s">
        <v>28</v>
      </c>
      <c r="C10">
        <v>24.759093</v>
      </c>
      <c r="D10">
        <v>46.648288999999998</v>
      </c>
    </row>
    <row r="11" spans="1:4">
      <c r="A11">
        <v>10</v>
      </c>
      <c r="B11" t="s">
        <v>28</v>
      </c>
      <c r="C11">
        <v>24.761935000000001</v>
      </c>
      <c r="D11">
        <v>46.646745000000003</v>
      </c>
    </row>
    <row r="12" spans="1:4">
      <c r="A12">
        <v>11</v>
      </c>
      <c r="B12" t="s">
        <v>29</v>
      </c>
      <c r="C12">
        <v>24.678431</v>
      </c>
      <c r="D12">
        <v>46.689216999999999</v>
      </c>
    </row>
    <row r="13" spans="1:4">
      <c r="A13">
        <v>12</v>
      </c>
      <c r="B13" t="s">
        <v>29</v>
      </c>
      <c r="C13">
        <v>24.690684000000001</v>
      </c>
      <c r="D13">
        <v>46.714556000000002</v>
      </c>
    </row>
    <row r="14" spans="1:4">
      <c r="A14">
        <v>13</v>
      </c>
      <c r="B14" t="s">
        <v>29</v>
      </c>
      <c r="C14">
        <v>24.702396</v>
      </c>
      <c r="D14">
        <v>46.742207000000001</v>
      </c>
    </row>
    <row r="15" spans="1:4">
      <c r="A15">
        <v>14</v>
      </c>
      <c r="B15" t="s">
        <v>29</v>
      </c>
      <c r="C15">
        <v>24.708452999999999</v>
      </c>
      <c r="D15">
        <v>46.751047</v>
      </c>
    </row>
    <row r="16" spans="1:4">
      <c r="A16">
        <v>15</v>
      </c>
      <c r="B16" t="s">
        <v>29</v>
      </c>
      <c r="C16">
        <v>24.738005999999999</v>
      </c>
      <c r="D16">
        <v>46.749847000000003</v>
      </c>
    </row>
    <row r="17" spans="1:4">
      <c r="A17">
        <v>16</v>
      </c>
      <c r="B17" t="s">
        <v>29</v>
      </c>
      <c r="C17">
        <v>24.792553000000002</v>
      </c>
      <c r="D17">
        <v>46.723103999999999</v>
      </c>
    </row>
    <row r="18" spans="1:4">
      <c r="A18">
        <v>17</v>
      </c>
      <c r="B18" t="s">
        <v>29</v>
      </c>
      <c r="C18">
        <v>24.781811999999999</v>
      </c>
      <c r="D18">
        <v>46.694220000000001</v>
      </c>
    </row>
    <row r="19" spans="1:4">
      <c r="A19">
        <v>18</v>
      </c>
      <c r="B19" t="s">
        <v>29</v>
      </c>
      <c r="C19">
        <v>24.773159</v>
      </c>
      <c r="D19">
        <v>46.675736000000001</v>
      </c>
    </row>
    <row r="20" spans="1:4">
      <c r="A20">
        <v>19</v>
      </c>
      <c r="B20" t="s">
        <v>29</v>
      </c>
      <c r="C20">
        <v>24.767389999999999</v>
      </c>
      <c r="D20">
        <v>46.660719</v>
      </c>
    </row>
    <row r="21" spans="1:4">
      <c r="A21">
        <v>20</v>
      </c>
      <c r="B21" t="s">
        <v>29</v>
      </c>
      <c r="C21">
        <v>24.761882</v>
      </c>
      <c r="D21">
        <v>46.647146999999997</v>
      </c>
    </row>
    <row r="22" spans="1:4">
      <c r="A22">
        <v>21</v>
      </c>
      <c r="B22" t="s">
        <v>30</v>
      </c>
      <c r="C22">
        <v>24.679359000000002</v>
      </c>
      <c r="D22">
        <v>46.688786</v>
      </c>
    </row>
    <row r="23" spans="1:4">
      <c r="A23">
        <v>22</v>
      </c>
      <c r="B23" t="s">
        <v>30</v>
      </c>
      <c r="C23">
        <v>24.675307</v>
      </c>
      <c r="D23">
        <v>46.670253000000002</v>
      </c>
    </row>
    <row r="24" spans="1:4">
      <c r="A24">
        <v>23</v>
      </c>
      <c r="B24" t="s">
        <v>30</v>
      </c>
      <c r="C24">
        <v>24.674683000000002</v>
      </c>
      <c r="D24">
        <v>46.657212000000001</v>
      </c>
    </row>
    <row r="25" spans="1:4">
      <c r="A25">
        <v>24</v>
      </c>
      <c r="B25" t="s">
        <v>30</v>
      </c>
      <c r="C25">
        <v>24.677175999999999</v>
      </c>
      <c r="D25">
        <v>46.642454999999998</v>
      </c>
    </row>
    <row r="26" spans="1:4">
      <c r="A26">
        <v>25</v>
      </c>
      <c r="B26" t="s">
        <v>30</v>
      </c>
      <c r="C26">
        <v>24.689025000000001</v>
      </c>
      <c r="D26">
        <v>46.633529000000003</v>
      </c>
    </row>
    <row r="27" spans="1:4">
      <c r="A27">
        <v>26</v>
      </c>
      <c r="B27" t="s">
        <v>30</v>
      </c>
      <c r="C27">
        <v>24.701497</v>
      </c>
      <c r="D27">
        <v>46.624944999999997</v>
      </c>
    </row>
    <row r="28" spans="1:4">
      <c r="A28">
        <v>27</v>
      </c>
      <c r="B28" t="s">
        <v>30</v>
      </c>
      <c r="C28">
        <v>24.715838000000002</v>
      </c>
      <c r="D28">
        <v>46.612582000000003</v>
      </c>
    </row>
    <row r="29" spans="1:4">
      <c r="A29">
        <v>28</v>
      </c>
      <c r="B29" t="s">
        <v>30</v>
      </c>
      <c r="C29">
        <v>24.736097999999998</v>
      </c>
      <c r="D29">
        <v>46.590254000000002</v>
      </c>
    </row>
    <row r="30" spans="1:4">
      <c r="A30">
        <v>29</v>
      </c>
      <c r="B30" t="s">
        <v>30</v>
      </c>
      <c r="C30">
        <v>24.749206999999998</v>
      </c>
      <c r="D30">
        <v>46.618062000000002</v>
      </c>
    </row>
    <row r="31" spans="1:4">
      <c r="A31">
        <v>30</v>
      </c>
      <c r="B31" t="s">
        <v>30</v>
      </c>
      <c r="C31">
        <v>24.760750999999999</v>
      </c>
      <c r="D31">
        <v>46.646904999999997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zoomScaleNormal="100" workbookViewId="0">
      <selection activeCell="E13" sqref="E13"/>
    </sheetView>
  </sheetViews>
  <sheetFormatPr defaultRowHeight="15"/>
  <cols>
    <col min="1" max="1" width="18.7109375"/>
    <col min="2" max="2" width="16.140625"/>
    <col min="3" max="3" width="13.42578125"/>
    <col min="4" max="4" width="21.140625"/>
    <col min="5" max="5" width="14"/>
    <col min="6" max="6" width="15.5703125"/>
    <col min="7" max="1025" width="8.5703125"/>
  </cols>
  <sheetData>
    <row r="1" spans="1:6">
      <c r="A1" s="1" t="s">
        <v>31</v>
      </c>
      <c r="B1" s="1" t="s">
        <v>1</v>
      </c>
      <c r="C1" s="1" t="s">
        <v>25</v>
      </c>
      <c r="D1" s="1" t="s">
        <v>32</v>
      </c>
      <c r="E1" s="1" t="s">
        <v>33</v>
      </c>
      <c r="F1" s="1" t="s">
        <v>34</v>
      </c>
    </row>
    <row r="2" spans="1:6">
      <c r="A2">
        <v>1</v>
      </c>
      <c r="B2" t="s">
        <v>2</v>
      </c>
      <c r="C2" t="s">
        <v>28</v>
      </c>
      <c r="D2">
        <v>5</v>
      </c>
      <c r="E2">
        <v>26</v>
      </c>
      <c r="F2" s="2">
        <v>45416.939583333296</v>
      </c>
    </row>
    <row r="3" spans="1:6">
      <c r="A3">
        <v>2</v>
      </c>
      <c r="B3" t="s">
        <v>2</v>
      </c>
      <c r="C3" t="s">
        <v>28</v>
      </c>
      <c r="D3">
        <v>5</v>
      </c>
      <c r="E3">
        <v>26</v>
      </c>
      <c r="F3" s="2">
        <v>45417.939583275504</v>
      </c>
    </row>
    <row r="4" spans="1:6">
      <c r="A4">
        <v>3</v>
      </c>
      <c r="B4" t="s">
        <v>2</v>
      </c>
      <c r="C4" t="s">
        <v>28</v>
      </c>
      <c r="F4" s="2">
        <v>45418.939583275504</v>
      </c>
    </row>
    <row r="5" spans="1:6">
      <c r="A5">
        <v>4</v>
      </c>
      <c r="B5" t="s">
        <v>2</v>
      </c>
      <c r="C5" t="s">
        <v>28</v>
      </c>
      <c r="F5" s="2">
        <v>45419.939583275504</v>
      </c>
    </row>
    <row r="6" spans="1:6">
      <c r="A6">
        <v>5</v>
      </c>
      <c r="B6" t="s">
        <v>2</v>
      </c>
      <c r="C6" t="s">
        <v>28</v>
      </c>
      <c r="F6" s="2">
        <v>45420.939583275504</v>
      </c>
    </row>
    <row r="7" spans="1:6">
      <c r="A7">
        <v>6</v>
      </c>
      <c r="B7" t="s">
        <v>2</v>
      </c>
      <c r="C7" t="s">
        <v>28</v>
      </c>
      <c r="F7" s="2">
        <v>45421.939583275504</v>
      </c>
    </row>
    <row r="8" spans="1:6">
      <c r="A8">
        <v>7</v>
      </c>
      <c r="B8" t="s">
        <v>2</v>
      </c>
      <c r="C8" t="s">
        <v>28</v>
      </c>
      <c r="F8" s="2">
        <v>45422.939583275504</v>
      </c>
    </row>
    <row r="9" spans="1:6">
      <c r="A9">
        <v>8</v>
      </c>
      <c r="B9" t="s">
        <v>2</v>
      </c>
      <c r="C9" t="s">
        <v>28</v>
      </c>
      <c r="F9" s="2">
        <v>45423.939583275504</v>
      </c>
    </row>
    <row r="10" spans="1:6">
      <c r="A10">
        <v>9</v>
      </c>
      <c r="B10" t="s">
        <v>2</v>
      </c>
      <c r="C10" t="s">
        <v>28</v>
      </c>
      <c r="F10" s="2">
        <v>45424.939583275504</v>
      </c>
    </row>
    <row r="11" spans="1:6">
      <c r="A11">
        <v>10</v>
      </c>
      <c r="B11" t="s">
        <v>2</v>
      </c>
      <c r="C11" t="s">
        <v>28</v>
      </c>
      <c r="F11" s="2">
        <v>45425.939583275504</v>
      </c>
    </row>
    <row r="12" spans="1:6">
      <c r="A12">
        <v>11</v>
      </c>
    </row>
    <row r="13" spans="1:6">
      <c r="A13">
        <v>12</v>
      </c>
    </row>
    <row r="14" spans="1:6">
      <c r="A14">
        <v>13</v>
      </c>
    </row>
    <row r="15" spans="1:6">
      <c r="A15">
        <v>14</v>
      </c>
    </row>
    <row r="16" spans="1:6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zoomScaleNormal="100" workbookViewId="0">
      <selection activeCell="D9" sqref="D9"/>
    </sheetView>
  </sheetViews>
  <sheetFormatPr defaultRowHeight="15"/>
  <cols>
    <col min="1" max="2" width="14"/>
    <col min="3" max="3" width="16"/>
    <col min="4" max="4" width="13.140625" bestFit="1" customWidth="1"/>
    <col min="5" max="5" width="8.5703125"/>
    <col min="6" max="6" width="16"/>
    <col min="7" max="1025" width="8.5703125"/>
  </cols>
  <sheetData>
    <row r="1" spans="1:6">
      <c r="A1" t="s">
        <v>35</v>
      </c>
      <c r="B1" t="s">
        <v>0</v>
      </c>
      <c r="C1" t="s">
        <v>1</v>
      </c>
      <c r="D1" t="s">
        <v>36</v>
      </c>
      <c r="E1" t="s">
        <v>37</v>
      </c>
      <c r="F1" t="s">
        <v>38</v>
      </c>
    </row>
    <row r="2" spans="1:6">
      <c r="A2">
        <v>1</v>
      </c>
      <c r="B2">
        <v>1</v>
      </c>
      <c r="C2" t="s">
        <v>2</v>
      </c>
      <c r="D2">
        <v>50</v>
      </c>
      <c r="E2">
        <v>1</v>
      </c>
      <c r="F2" s="3">
        <v>45292</v>
      </c>
    </row>
    <row r="3" spans="1:6">
      <c r="A3">
        <v>2</v>
      </c>
      <c r="B3">
        <v>1</v>
      </c>
      <c r="C3" t="s">
        <v>39</v>
      </c>
      <c r="D3">
        <v>51</v>
      </c>
      <c r="E3">
        <v>1</v>
      </c>
      <c r="F3" s="3">
        <v>45293</v>
      </c>
    </row>
    <row r="4" spans="1:6">
      <c r="A4">
        <v>3</v>
      </c>
      <c r="B4">
        <v>1</v>
      </c>
      <c r="C4" t="s">
        <v>40</v>
      </c>
      <c r="D4">
        <v>52</v>
      </c>
      <c r="E4">
        <v>1</v>
      </c>
      <c r="F4" s="3">
        <v>45294</v>
      </c>
    </row>
    <row r="5" spans="1:6">
      <c r="A5">
        <v>4</v>
      </c>
      <c r="B5">
        <v>1</v>
      </c>
      <c r="C5" t="s">
        <v>2</v>
      </c>
      <c r="D5">
        <v>55</v>
      </c>
      <c r="E5">
        <v>1</v>
      </c>
      <c r="F5" s="3">
        <v>45295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opLeftCell="G1" workbookViewId="0">
      <selection activeCell="M24" sqref="M24"/>
    </sheetView>
  </sheetViews>
  <sheetFormatPr defaultRowHeight="15"/>
  <cols>
    <col min="1" max="1" width="12" bestFit="1" customWidth="1"/>
    <col min="2" max="2" width="12" customWidth="1"/>
    <col min="3" max="3" width="17.42578125" bestFit="1" customWidth="1"/>
    <col min="4" max="4" width="22.140625" bestFit="1" customWidth="1"/>
    <col min="5" max="5" width="23.7109375" bestFit="1" customWidth="1"/>
    <col min="6" max="6" width="17.28515625" bestFit="1" customWidth="1"/>
    <col min="7" max="7" width="22" bestFit="1" customWidth="1"/>
    <col min="8" max="8" width="19.85546875" bestFit="1" customWidth="1"/>
    <col min="9" max="9" width="24.5703125" bestFit="1" customWidth="1"/>
    <col min="10" max="10" width="9.5703125" bestFit="1" customWidth="1"/>
    <col min="11" max="11" width="14.28515625" bestFit="1" customWidth="1"/>
    <col min="12" max="12" width="7.7109375" bestFit="1" customWidth="1"/>
    <col min="13" max="13" width="12.28515625" bestFit="1" customWidth="1"/>
    <col min="14" max="14" width="18" bestFit="1" customWidth="1"/>
    <col min="15" max="15" width="22.7109375" bestFit="1" customWidth="1"/>
    <col min="16" max="16" width="15.140625" bestFit="1" customWidth="1"/>
  </cols>
  <sheetData>
    <row r="1" spans="1:16">
      <c r="A1" t="s">
        <v>102</v>
      </c>
      <c r="B1" s="1" t="s">
        <v>56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</row>
    <row r="2" spans="1:16">
      <c r="A2" t="s">
        <v>43</v>
      </c>
      <c r="B2" t="s">
        <v>2</v>
      </c>
      <c r="C2">
        <v>12</v>
      </c>
      <c r="D2" t="s">
        <v>117</v>
      </c>
      <c r="E2" t="s">
        <v>118</v>
      </c>
      <c r="F2">
        <v>1</v>
      </c>
      <c r="G2" t="s">
        <v>119</v>
      </c>
      <c r="H2">
        <v>40</v>
      </c>
      <c r="I2" t="s">
        <v>120</v>
      </c>
      <c r="J2">
        <v>5</v>
      </c>
      <c r="K2" t="s">
        <v>121</v>
      </c>
      <c r="L2">
        <v>20</v>
      </c>
      <c r="M2" t="s">
        <v>122</v>
      </c>
      <c r="N2" s="4">
        <f ca="1">NOW()</f>
        <v>45423.922208101852</v>
      </c>
      <c r="O2" s="4">
        <f ca="1">NOW()</f>
        <v>45423.922208101852</v>
      </c>
      <c r="P2" t="b">
        <v>0</v>
      </c>
    </row>
    <row r="3" spans="1:16">
      <c r="A3" t="s">
        <v>44</v>
      </c>
      <c r="B3" t="s">
        <v>3</v>
      </c>
      <c r="C3">
        <v>12</v>
      </c>
      <c r="D3" t="s">
        <v>117</v>
      </c>
      <c r="E3" t="s">
        <v>118</v>
      </c>
      <c r="F3">
        <v>1</v>
      </c>
      <c r="G3" t="s">
        <v>119</v>
      </c>
      <c r="H3">
        <v>40</v>
      </c>
      <c r="I3" t="s">
        <v>120</v>
      </c>
      <c r="J3">
        <v>5</v>
      </c>
      <c r="K3" t="s">
        <v>121</v>
      </c>
      <c r="L3">
        <v>20</v>
      </c>
      <c r="M3" t="s">
        <v>122</v>
      </c>
      <c r="N3" s="4">
        <f t="shared" ref="N3:O18" ca="1" si="0">NOW()</f>
        <v>45423.922208101852</v>
      </c>
      <c r="O3" s="4">
        <f t="shared" ca="1" si="0"/>
        <v>45423.922208101852</v>
      </c>
      <c r="P3" t="b">
        <v>0</v>
      </c>
    </row>
    <row r="4" spans="1:16">
      <c r="A4" t="s">
        <v>45</v>
      </c>
      <c r="B4" t="s">
        <v>4</v>
      </c>
      <c r="C4">
        <v>12</v>
      </c>
      <c r="D4" t="s">
        <v>117</v>
      </c>
      <c r="E4" t="s">
        <v>118</v>
      </c>
      <c r="F4">
        <v>1</v>
      </c>
      <c r="G4" t="s">
        <v>119</v>
      </c>
      <c r="H4">
        <v>40</v>
      </c>
      <c r="I4" t="s">
        <v>120</v>
      </c>
      <c r="J4">
        <v>5</v>
      </c>
      <c r="K4" t="s">
        <v>121</v>
      </c>
      <c r="L4">
        <v>20</v>
      </c>
      <c r="M4" t="s">
        <v>122</v>
      </c>
      <c r="N4" s="4">
        <f t="shared" ca="1" si="0"/>
        <v>45423.922208101852</v>
      </c>
      <c r="O4" s="4">
        <f t="shared" ca="1" si="0"/>
        <v>45423.922208101852</v>
      </c>
      <c r="P4" t="b">
        <v>0</v>
      </c>
    </row>
    <row r="5" spans="1:16">
      <c r="A5" t="s">
        <v>46</v>
      </c>
      <c r="B5" t="s">
        <v>5</v>
      </c>
      <c r="C5">
        <v>12</v>
      </c>
      <c r="D5" t="s">
        <v>117</v>
      </c>
      <c r="E5" t="s">
        <v>118</v>
      </c>
      <c r="F5">
        <v>1</v>
      </c>
      <c r="G5" t="s">
        <v>119</v>
      </c>
      <c r="H5">
        <v>40</v>
      </c>
      <c r="I5" t="s">
        <v>120</v>
      </c>
      <c r="J5">
        <v>5</v>
      </c>
      <c r="K5" t="s">
        <v>121</v>
      </c>
      <c r="L5">
        <v>20</v>
      </c>
      <c r="M5" t="s">
        <v>122</v>
      </c>
      <c r="N5" s="4">
        <f t="shared" ca="1" si="0"/>
        <v>45423.922208101852</v>
      </c>
      <c r="O5" s="4">
        <f t="shared" ca="1" si="0"/>
        <v>45423.922208101852</v>
      </c>
      <c r="P5" t="b">
        <v>0</v>
      </c>
    </row>
    <row r="6" spans="1:16">
      <c r="A6" t="s">
        <v>47</v>
      </c>
      <c r="B6" t="s">
        <v>6</v>
      </c>
      <c r="C6">
        <v>12</v>
      </c>
      <c r="D6" t="s">
        <v>117</v>
      </c>
      <c r="E6" t="s">
        <v>118</v>
      </c>
      <c r="F6">
        <v>1</v>
      </c>
      <c r="G6" t="s">
        <v>119</v>
      </c>
      <c r="H6">
        <v>40</v>
      </c>
      <c r="I6" t="s">
        <v>120</v>
      </c>
      <c r="J6">
        <v>5</v>
      </c>
      <c r="K6" t="s">
        <v>121</v>
      </c>
      <c r="L6">
        <v>20</v>
      </c>
      <c r="M6" t="s">
        <v>122</v>
      </c>
      <c r="N6" s="4">
        <f t="shared" ca="1" si="0"/>
        <v>45423.922208101852</v>
      </c>
      <c r="O6" s="4">
        <f t="shared" ca="1" si="0"/>
        <v>45423.922208101852</v>
      </c>
      <c r="P6" t="b">
        <v>0</v>
      </c>
    </row>
    <row r="7" spans="1:16">
      <c r="A7" t="s">
        <v>48</v>
      </c>
      <c r="B7" t="s">
        <v>7</v>
      </c>
      <c r="C7">
        <v>12</v>
      </c>
      <c r="D7" t="s">
        <v>117</v>
      </c>
      <c r="E7" t="s">
        <v>118</v>
      </c>
      <c r="F7">
        <v>1</v>
      </c>
      <c r="G7" t="s">
        <v>119</v>
      </c>
      <c r="H7">
        <v>40</v>
      </c>
      <c r="I7" t="s">
        <v>120</v>
      </c>
      <c r="J7">
        <v>5</v>
      </c>
      <c r="K7" t="s">
        <v>121</v>
      </c>
      <c r="L7">
        <v>20</v>
      </c>
      <c r="M7" t="s">
        <v>122</v>
      </c>
      <c r="N7" s="4">
        <f t="shared" ca="1" si="0"/>
        <v>45423.922208101852</v>
      </c>
      <c r="O7" s="4">
        <f t="shared" ca="1" si="0"/>
        <v>45423.922208101852</v>
      </c>
      <c r="P7" t="b">
        <v>0</v>
      </c>
    </row>
    <row r="8" spans="1:16">
      <c r="A8" t="s">
        <v>49</v>
      </c>
      <c r="B8" t="s">
        <v>8</v>
      </c>
      <c r="C8">
        <v>12</v>
      </c>
      <c r="D8" t="s">
        <v>117</v>
      </c>
      <c r="E8" t="s">
        <v>118</v>
      </c>
      <c r="F8">
        <v>1</v>
      </c>
      <c r="G8" t="s">
        <v>119</v>
      </c>
      <c r="H8">
        <v>40</v>
      </c>
      <c r="I8" t="s">
        <v>120</v>
      </c>
      <c r="J8">
        <v>5</v>
      </c>
      <c r="K8" t="s">
        <v>121</v>
      </c>
      <c r="L8">
        <v>20</v>
      </c>
      <c r="M8" t="s">
        <v>122</v>
      </c>
      <c r="N8" s="4">
        <f t="shared" ca="1" si="0"/>
        <v>45423.922208101852</v>
      </c>
      <c r="O8" s="4">
        <f t="shared" ca="1" si="0"/>
        <v>45423.922208101852</v>
      </c>
      <c r="P8" t="b">
        <v>0</v>
      </c>
    </row>
    <row r="9" spans="1:16">
      <c r="A9" t="s">
        <v>50</v>
      </c>
      <c r="B9" t="s">
        <v>9</v>
      </c>
      <c r="C9">
        <v>12</v>
      </c>
      <c r="D9" t="s">
        <v>117</v>
      </c>
      <c r="E9" t="s">
        <v>118</v>
      </c>
      <c r="F9">
        <v>1</v>
      </c>
      <c r="G9" t="s">
        <v>119</v>
      </c>
      <c r="H9">
        <v>40</v>
      </c>
      <c r="I9" t="s">
        <v>120</v>
      </c>
      <c r="J9">
        <v>5</v>
      </c>
      <c r="K9" t="s">
        <v>121</v>
      </c>
      <c r="L9">
        <v>20</v>
      </c>
      <c r="M9" t="s">
        <v>122</v>
      </c>
      <c r="N9" s="4">
        <f t="shared" ca="1" si="0"/>
        <v>45423.922208101852</v>
      </c>
      <c r="O9" s="4">
        <f t="shared" ca="1" si="0"/>
        <v>45423.922208101852</v>
      </c>
      <c r="P9" t="b">
        <v>0</v>
      </c>
    </row>
    <row r="10" spans="1:16">
      <c r="A10" t="s">
        <v>51</v>
      </c>
      <c r="B10" t="s">
        <v>10</v>
      </c>
      <c r="C10">
        <v>12</v>
      </c>
      <c r="D10" t="s">
        <v>117</v>
      </c>
      <c r="E10" t="s">
        <v>118</v>
      </c>
      <c r="F10">
        <v>1</v>
      </c>
      <c r="G10" t="s">
        <v>119</v>
      </c>
      <c r="H10">
        <v>40</v>
      </c>
      <c r="I10" t="s">
        <v>120</v>
      </c>
      <c r="J10">
        <v>5</v>
      </c>
      <c r="K10" t="s">
        <v>121</v>
      </c>
      <c r="L10">
        <v>20</v>
      </c>
      <c r="M10" t="s">
        <v>122</v>
      </c>
      <c r="N10" s="4">
        <f t="shared" ca="1" si="0"/>
        <v>45423.922208101852</v>
      </c>
      <c r="O10" s="4">
        <f t="shared" ca="1" si="0"/>
        <v>45423.922208101852</v>
      </c>
      <c r="P10" t="b">
        <v>0</v>
      </c>
    </row>
    <row r="11" spans="1:16">
      <c r="A11" t="s">
        <v>52</v>
      </c>
      <c r="B11" t="s">
        <v>11</v>
      </c>
      <c r="C11">
        <v>12</v>
      </c>
      <c r="D11" t="s">
        <v>117</v>
      </c>
      <c r="E11" t="s">
        <v>118</v>
      </c>
      <c r="F11">
        <v>1</v>
      </c>
      <c r="G11" t="s">
        <v>119</v>
      </c>
      <c r="H11">
        <v>40</v>
      </c>
      <c r="I11" t="s">
        <v>120</v>
      </c>
      <c r="J11">
        <v>5</v>
      </c>
      <c r="K11" t="s">
        <v>121</v>
      </c>
      <c r="L11">
        <v>20</v>
      </c>
      <c r="M11" t="s">
        <v>122</v>
      </c>
      <c r="N11" s="4">
        <f t="shared" ca="1" si="0"/>
        <v>45423.922208101852</v>
      </c>
      <c r="O11" s="4">
        <f t="shared" ca="1" si="0"/>
        <v>45423.922208101852</v>
      </c>
      <c r="P11" t="b">
        <v>0</v>
      </c>
    </row>
    <row r="12" spans="1:16">
      <c r="A12" t="s">
        <v>43</v>
      </c>
      <c r="B12" t="s">
        <v>2</v>
      </c>
      <c r="C12">
        <v>12</v>
      </c>
      <c r="D12" t="s">
        <v>117</v>
      </c>
      <c r="E12" t="s">
        <v>118</v>
      </c>
      <c r="F12">
        <v>1</v>
      </c>
      <c r="G12" t="s">
        <v>119</v>
      </c>
      <c r="H12">
        <v>40</v>
      </c>
      <c r="I12" t="s">
        <v>120</v>
      </c>
      <c r="J12">
        <v>5</v>
      </c>
      <c r="K12" t="s">
        <v>121</v>
      </c>
      <c r="L12">
        <v>20</v>
      </c>
      <c r="M12" t="s">
        <v>122</v>
      </c>
      <c r="N12" s="4">
        <f t="shared" ca="1" si="0"/>
        <v>45423.922208101852</v>
      </c>
      <c r="O12" s="4">
        <f t="shared" ca="1" si="0"/>
        <v>45423.922208101852</v>
      </c>
      <c r="P12" t="b">
        <v>0</v>
      </c>
    </row>
    <row r="13" spans="1:16">
      <c r="A13" t="s">
        <v>44</v>
      </c>
      <c r="B13" t="s">
        <v>3</v>
      </c>
      <c r="C13">
        <v>12</v>
      </c>
      <c r="D13" t="s">
        <v>117</v>
      </c>
      <c r="E13" t="s">
        <v>118</v>
      </c>
      <c r="F13">
        <v>1</v>
      </c>
      <c r="G13" t="s">
        <v>119</v>
      </c>
      <c r="H13">
        <v>40</v>
      </c>
      <c r="I13" t="s">
        <v>120</v>
      </c>
      <c r="J13">
        <v>5</v>
      </c>
      <c r="K13" t="s">
        <v>121</v>
      </c>
      <c r="L13">
        <v>20</v>
      </c>
      <c r="M13" t="s">
        <v>122</v>
      </c>
      <c r="N13" s="4">
        <f t="shared" ca="1" si="0"/>
        <v>45423.922208101852</v>
      </c>
      <c r="O13" s="4">
        <f t="shared" ca="1" si="0"/>
        <v>45423.922208101852</v>
      </c>
      <c r="P13" t="b">
        <v>0</v>
      </c>
    </row>
    <row r="14" spans="1:16">
      <c r="A14" t="s">
        <v>45</v>
      </c>
      <c r="B14" t="s">
        <v>4</v>
      </c>
      <c r="C14">
        <v>12</v>
      </c>
      <c r="D14" t="s">
        <v>117</v>
      </c>
      <c r="E14" t="s">
        <v>118</v>
      </c>
      <c r="F14">
        <v>1</v>
      </c>
      <c r="G14" t="s">
        <v>119</v>
      </c>
      <c r="H14">
        <v>40</v>
      </c>
      <c r="I14" t="s">
        <v>120</v>
      </c>
      <c r="J14">
        <v>5</v>
      </c>
      <c r="K14" t="s">
        <v>121</v>
      </c>
      <c r="L14">
        <v>20</v>
      </c>
      <c r="M14" t="s">
        <v>122</v>
      </c>
      <c r="N14" s="4">
        <f t="shared" ca="1" si="0"/>
        <v>45423.922208101852</v>
      </c>
      <c r="O14" s="4">
        <f t="shared" ca="1" si="0"/>
        <v>45423.922208101852</v>
      </c>
      <c r="P14" t="b">
        <v>0</v>
      </c>
    </row>
    <row r="15" spans="1:16">
      <c r="A15" t="s">
        <v>46</v>
      </c>
      <c r="B15" t="s">
        <v>5</v>
      </c>
      <c r="C15">
        <v>12</v>
      </c>
      <c r="D15" t="s">
        <v>117</v>
      </c>
      <c r="E15" t="s">
        <v>118</v>
      </c>
      <c r="F15">
        <v>1</v>
      </c>
      <c r="G15" t="s">
        <v>119</v>
      </c>
      <c r="H15">
        <v>40</v>
      </c>
      <c r="I15" t="s">
        <v>120</v>
      </c>
      <c r="J15">
        <v>5</v>
      </c>
      <c r="K15" t="s">
        <v>121</v>
      </c>
      <c r="L15">
        <v>20</v>
      </c>
      <c r="M15" t="s">
        <v>122</v>
      </c>
      <c r="N15" s="4">
        <f t="shared" ca="1" si="0"/>
        <v>45423.922208101852</v>
      </c>
      <c r="O15" s="4">
        <f t="shared" ca="1" si="0"/>
        <v>45423.922208101852</v>
      </c>
      <c r="P15" t="b">
        <v>0</v>
      </c>
    </row>
    <row r="16" spans="1:16">
      <c r="A16" t="s">
        <v>47</v>
      </c>
      <c r="B16" t="s">
        <v>6</v>
      </c>
      <c r="C16">
        <v>12</v>
      </c>
      <c r="D16" t="s">
        <v>117</v>
      </c>
      <c r="E16" t="s">
        <v>118</v>
      </c>
      <c r="F16">
        <v>1</v>
      </c>
      <c r="G16" t="s">
        <v>119</v>
      </c>
      <c r="H16">
        <v>40</v>
      </c>
      <c r="I16" t="s">
        <v>120</v>
      </c>
      <c r="J16">
        <v>5</v>
      </c>
      <c r="K16" t="s">
        <v>121</v>
      </c>
      <c r="L16">
        <v>20</v>
      </c>
      <c r="M16" t="s">
        <v>122</v>
      </c>
      <c r="N16" s="4">
        <f t="shared" ca="1" si="0"/>
        <v>45423.922208101852</v>
      </c>
      <c r="O16" s="4">
        <f t="shared" ca="1" si="0"/>
        <v>45423.922208101852</v>
      </c>
      <c r="P16" t="b">
        <v>0</v>
      </c>
    </row>
    <row r="17" spans="1:16">
      <c r="A17" t="s">
        <v>48</v>
      </c>
      <c r="B17" t="s">
        <v>7</v>
      </c>
      <c r="C17">
        <v>12</v>
      </c>
      <c r="D17" t="s">
        <v>117</v>
      </c>
      <c r="E17" t="s">
        <v>118</v>
      </c>
      <c r="F17">
        <v>1</v>
      </c>
      <c r="G17" t="s">
        <v>119</v>
      </c>
      <c r="H17">
        <v>40</v>
      </c>
      <c r="I17" t="s">
        <v>120</v>
      </c>
      <c r="J17">
        <v>5</v>
      </c>
      <c r="K17" t="s">
        <v>121</v>
      </c>
      <c r="L17">
        <v>20</v>
      </c>
      <c r="M17" t="s">
        <v>122</v>
      </c>
      <c r="N17" s="4">
        <f t="shared" ca="1" si="0"/>
        <v>45423.922208101852</v>
      </c>
      <c r="O17" s="4">
        <f t="shared" ca="1" si="0"/>
        <v>45423.922208101852</v>
      </c>
      <c r="P17" t="b">
        <v>0</v>
      </c>
    </row>
    <row r="18" spans="1:16">
      <c r="A18" t="s">
        <v>49</v>
      </c>
      <c r="B18" t="s">
        <v>8</v>
      </c>
      <c r="C18">
        <v>12</v>
      </c>
      <c r="D18" t="s">
        <v>117</v>
      </c>
      <c r="E18" t="s">
        <v>118</v>
      </c>
      <c r="F18">
        <v>1</v>
      </c>
      <c r="G18" t="s">
        <v>119</v>
      </c>
      <c r="H18">
        <v>40</v>
      </c>
      <c r="I18" t="s">
        <v>120</v>
      </c>
      <c r="J18">
        <v>5</v>
      </c>
      <c r="K18" t="s">
        <v>121</v>
      </c>
      <c r="L18">
        <v>20</v>
      </c>
      <c r="M18" t="s">
        <v>122</v>
      </c>
      <c r="N18" s="4">
        <f t="shared" ca="1" si="0"/>
        <v>45423.922208101852</v>
      </c>
      <c r="O18" s="4">
        <f t="shared" ca="1" si="0"/>
        <v>45423.922208101852</v>
      </c>
      <c r="P18" t="b">
        <v>0</v>
      </c>
    </row>
    <row r="19" spans="1:16">
      <c r="A19" t="s">
        <v>50</v>
      </c>
      <c r="B19" t="s">
        <v>9</v>
      </c>
      <c r="C19">
        <v>12</v>
      </c>
      <c r="D19" t="s">
        <v>117</v>
      </c>
      <c r="E19" t="s">
        <v>118</v>
      </c>
      <c r="F19">
        <v>1</v>
      </c>
      <c r="G19" t="s">
        <v>119</v>
      </c>
      <c r="H19">
        <v>40</v>
      </c>
      <c r="I19" t="s">
        <v>120</v>
      </c>
      <c r="J19">
        <v>5</v>
      </c>
      <c r="K19" t="s">
        <v>121</v>
      </c>
      <c r="L19">
        <v>20</v>
      </c>
      <c r="M19" t="s">
        <v>122</v>
      </c>
      <c r="N19" s="4">
        <f t="shared" ref="N19:O21" ca="1" si="1">NOW()</f>
        <v>45423.922208101852</v>
      </c>
      <c r="O19" s="4">
        <f t="shared" ca="1" si="1"/>
        <v>45423.922208101852</v>
      </c>
      <c r="P19" t="b">
        <v>0</v>
      </c>
    </row>
    <row r="20" spans="1:16">
      <c r="A20" t="s">
        <v>51</v>
      </c>
      <c r="B20" t="s">
        <v>10</v>
      </c>
      <c r="C20">
        <v>12</v>
      </c>
      <c r="D20" t="s">
        <v>117</v>
      </c>
      <c r="E20" t="s">
        <v>118</v>
      </c>
      <c r="F20">
        <v>1</v>
      </c>
      <c r="G20" t="s">
        <v>119</v>
      </c>
      <c r="H20">
        <v>40</v>
      </c>
      <c r="I20" t="s">
        <v>120</v>
      </c>
      <c r="J20">
        <v>5</v>
      </c>
      <c r="K20" t="s">
        <v>121</v>
      </c>
      <c r="L20">
        <v>20</v>
      </c>
      <c r="M20" t="s">
        <v>122</v>
      </c>
      <c r="N20" s="4">
        <f t="shared" ca="1" si="1"/>
        <v>45423.922208101852</v>
      </c>
      <c r="O20" s="4">
        <f t="shared" ca="1" si="1"/>
        <v>45423.922208101852</v>
      </c>
      <c r="P20" t="b">
        <v>0</v>
      </c>
    </row>
    <row r="21" spans="1:16">
      <c r="A21" t="s">
        <v>52</v>
      </c>
      <c r="B21" t="s">
        <v>11</v>
      </c>
      <c r="C21">
        <v>13</v>
      </c>
      <c r="D21" t="s">
        <v>117</v>
      </c>
      <c r="E21" t="s">
        <v>118</v>
      </c>
      <c r="F21">
        <v>2</v>
      </c>
      <c r="G21" t="s">
        <v>119</v>
      </c>
      <c r="H21">
        <v>41</v>
      </c>
      <c r="I21" t="s">
        <v>120</v>
      </c>
      <c r="J21">
        <v>6</v>
      </c>
      <c r="K21" t="s">
        <v>121</v>
      </c>
      <c r="L21">
        <v>21</v>
      </c>
      <c r="M21" t="s">
        <v>122</v>
      </c>
      <c r="N21" s="4">
        <f t="shared" ca="1" si="1"/>
        <v>45423.922208101852</v>
      </c>
      <c r="O21" s="4">
        <f t="shared" ca="1" si="1"/>
        <v>45423.922208101852</v>
      </c>
      <c r="P21" t="b"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C15" sqref="C15"/>
    </sheetView>
  </sheetViews>
  <sheetFormatPr defaultRowHeight="15"/>
  <cols>
    <col min="1" max="2" width="40.140625" bestFit="1" customWidth="1"/>
    <col min="3" max="3" width="23.7109375" bestFit="1" customWidth="1"/>
    <col min="4" max="4" width="17.28515625" bestFit="1" customWidth="1"/>
    <col min="5" max="5" width="22" bestFit="1" customWidth="1"/>
    <col min="6" max="6" width="19.85546875" bestFit="1" customWidth="1"/>
    <col min="7" max="7" width="24.5703125" bestFit="1" customWidth="1"/>
    <col min="8" max="8" width="9.5703125" bestFit="1" customWidth="1"/>
    <col min="9" max="9" width="14.28515625" bestFit="1" customWidth="1"/>
    <col min="10" max="10" width="7.7109375" bestFit="1" customWidth="1"/>
    <col min="11" max="11" width="12.28515625" bestFit="1" customWidth="1"/>
    <col min="12" max="12" width="18" bestFit="1" customWidth="1"/>
    <col min="13" max="13" width="22.7109375" bestFit="1" customWidth="1"/>
    <col min="14" max="14" width="15.140625" bestFit="1" customWidth="1"/>
  </cols>
  <sheetData>
    <row r="1" spans="1:2">
      <c r="A1" s="7" t="s">
        <v>126</v>
      </c>
      <c r="B1" s="7" t="s">
        <v>127</v>
      </c>
    </row>
    <row r="2" spans="1:2">
      <c r="A2" s="8" t="s">
        <v>125</v>
      </c>
      <c r="B2" s="5" t="s">
        <v>123</v>
      </c>
    </row>
    <row r="3" spans="1:2">
      <c r="A3" s="8" t="s">
        <v>130</v>
      </c>
      <c r="B3" s="6" t="s">
        <v>124</v>
      </c>
    </row>
    <row r="4" spans="1:2">
      <c r="A4" s="8" t="s">
        <v>128</v>
      </c>
      <c r="B4" s="5" t="s">
        <v>129</v>
      </c>
    </row>
    <row r="5" spans="1:2">
      <c r="A5" s="8" t="s">
        <v>131</v>
      </c>
      <c r="B5" s="5"/>
    </row>
    <row r="6" spans="1:2">
      <c r="A6" s="8" t="s">
        <v>132</v>
      </c>
      <c r="B6" s="5"/>
    </row>
    <row r="7" spans="1:2">
      <c r="A7" s="8" t="s">
        <v>133</v>
      </c>
      <c r="B7" s="5"/>
    </row>
    <row r="8" spans="1:2">
      <c r="A8" s="8" t="s">
        <v>134</v>
      </c>
      <c r="B8" s="5"/>
    </row>
    <row r="9" spans="1:2">
      <c r="A9" s="5" t="s">
        <v>135</v>
      </c>
      <c r="B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vehicles</vt:lpstr>
      <vt:lpstr>trips</vt:lpstr>
      <vt:lpstr>alerts</vt:lpstr>
      <vt:lpstr>location_track</vt:lpstr>
      <vt:lpstr>vehicle_track</vt:lpstr>
      <vt:lpstr>fuel_transactions</vt:lpstr>
      <vt:lpstr>iot_transactions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Dharaneedhar Reddy</dc:creator>
  <cp:lastModifiedBy>lenovo</cp:lastModifiedBy>
  <cp:revision>1</cp:revision>
  <dcterms:created xsi:type="dcterms:W3CDTF">2006-09-16T00:00:00Z</dcterms:created>
  <dcterms:modified xsi:type="dcterms:W3CDTF">2024-05-11T16:53:56Z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